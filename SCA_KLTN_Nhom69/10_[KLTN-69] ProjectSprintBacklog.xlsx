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SCA_KLTN_Nhom69\SCA_KLTN_Nhom69\"/>
    </mc:Choice>
  </mc:AlternateContent>
  <xr:revisionPtr revIDLastSave="0" documentId="13_ncr:1_{2E19D987-1C19-42ED-97FC-7FA72374FF49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8" i="3" l="1"/>
  <c r="V78" i="3"/>
  <c r="T78" i="3"/>
  <c r="S78" i="3"/>
  <c r="O78" i="3"/>
  <c r="M78" i="3"/>
  <c r="L78" i="3"/>
  <c r="J78" i="3"/>
  <c r="K78" i="3" l="1"/>
  <c r="N78" i="3"/>
  <c r="P78" i="3"/>
  <c r="Q78" i="3"/>
  <c r="R78" i="3"/>
  <c r="U78" i="3"/>
  <c r="X78" i="3"/>
  <c r="Y78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X86" i="2"/>
  <c r="I86" i="2"/>
  <c r="W86" i="2"/>
  <c r="V86" i="2"/>
  <c r="U86" i="2"/>
  <c r="R86" i="2"/>
  <c r="P86" i="2"/>
  <c r="N86" i="2"/>
  <c r="M86" i="2"/>
  <c r="J86" i="2"/>
  <c r="K86" i="2"/>
  <c r="L86" i="2"/>
  <c r="O86" i="2"/>
  <c r="Q86" i="2"/>
  <c r="S86" i="2"/>
  <c r="T86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X87" i="1"/>
  <c r="V87" i="1"/>
  <c r="T87" i="1"/>
  <c r="Q87" i="1"/>
  <c r="L87" i="1"/>
  <c r="K87" i="1"/>
  <c r="N87" i="1"/>
  <c r="G87" i="1"/>
  <c r="J87" i="1"/>
  <c r="M87" i="1"/>
  <c r="O87" i="1"/>
  <c r="P87" i="1"/>
  <c r="R87" i="1"/>
  <c r="S87" i="1"/>
  <c r="U87" i="1"/>
  <c r="W87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I86" i="1"/>
  <c r="I87" i="1"/>
  <c r="X86" i="1" l="1"/>
  <c r="G86" i="1"/>
  <c r="G77" i="3" l="1"/>
  <c r="I77" i="3"/>
  <c r="G78" i="3"/>
  <c r="I78" i="3"/>
  <c r="I85" i="2" l="1"/>
  <c r="G86" i="2"/>
  <c r="G85" i="2"/>
  <c r="F7" i="4" l="1"/>
  <c r="D7" i="4"/>
  <c r="K7" i="4"/>
  <c r="B7" i="4"/>
  <c r="C7" i="4"/>
  <c r="G7" i="4"/>
  <c r="J7" i="4"/>
  <c r="E7" i="4"/>
  <c r="I7" i="4"/>
  <c r="H7" i="4"/>
  <c r="E11" i="3"/>
  <c r="D11" i="3"/>
  <c r="E11" i="2"/>
  <c r="D11" i="2"/>
  <c r="E13" i="1"/>
  <c r="D13" i="1"/>
  <c r="F11" i="4" l="1"/>
  <c r="F12" i="4"/>
</calcChain>
</file>

<file path=xl/sharedStrings.xml><?xml version="1.0" encoding="utf-8"?>
<sst xmlns="http://schemas.openxmlformats.org/spreadsheetml/2006/main" count="460" uniqueCount="208">
  <si>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</si>
  <si>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</si>
  <si>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</si>
  <si>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</si>
  <si>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</si>
  <si>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</si>
  <si>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</si>
  <si>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</si>
  <si>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</si>
  <si>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</si>
  <si>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</si>
  <si>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</si>
  <si>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</si>
  <si>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Tạo Sprint Backlog 1</t>
  </si>
  <si>
    <t>User interface design</t>
  </si>
  <si>
    <t>Design test case</t>
  </si>
  <si>
    <t>Coding</t>
  </si>
  <si>
    <t>Testing</t>
  </si>
  <si>
    <t>Fix Bug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</si>
  <si>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</si>
  <si>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</si>
  <si>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</si>
  <si>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</si>
  <si>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</si>
  <si>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</si>
  <si>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</si>
  <si>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</si>
  <si>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</si>
  <si>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</si>
  <si>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</si>
  <si>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</si>
  <si>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</si>
  <si>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</si>
  <si>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</t>
  </si>
  <si>
    <t>Kết thúc đúng hạn</t>
  </si>
  <si>
    <t xml:space="preserve">Xây dựng Website mua bán thủy hải sản tích hợp chatbot ai hỗ trợ khách hàng </t>
  </si>
  <si>
    <t>Trần Anh Huy</t>
  </si>
  <si>
    <t>Lê Minh Hải</t>
  </si>
  <si>
    <t>Hoàng Văn Đức</t>
  </si>
  <si>
    <t>Nguyễn Bảo Dương</t>
  </si>
  <si>
    <t>Nguyễn Quốc Trị</t>
  </si>
  <si>
    <t>Tạo tài liệu kiểm thử cho Sprint 1</t>
  </si>
  <si>
    <t>Thiết kế cơ sở dữ liệu</t>
  </si>
  <si>
    <t>Thiết kế database</t>
  </si>
  <si>
    <t>Thiết kế giao diện đăng ký</t>
  </si>
  <si>
    <t>Thiết kế giao diện đăng nhập</t>
  </si>
  <si>
    <t>Thiết kế giao diện quên mật khẩu</t>
  </si>
  <si>
    <t>Thiết kế giao diện xem sản phẩm</t>
  </si>
  <si>
    <t>Thiết kế giao diện xem chi tiết sản phẩm</t>
  </si>
  <si>
    <t>Thiết kế giao diện tìm kiếm</t>
  </si>
  <si>
    <t>Thiết kế giao diện quản lý thông tin cá nhân</t>
  </si>
  <si>
    <t>Review tất cả giao diện</t>
  </si>
  <si>
    <t>Thiết kế test case đăng ký</t>
  </si>
  <si>
    <t>Thiết kế test case đăng nhập</t>
  </si>
  <si>
    <t>Thiết kế test case quên mật khẩu</t>
  </si>
  <si>
    <t>Thiết kế test case xem sản phẩm</t>
  </si>
  <si>
    <t>Thiết kế test case xem chi tiết sản phẩm</t>
  </si>
  <si>
    <t>Thiết kế test case tìm kiếm</t>
  </si>
  <si>
    <t>Thiết kế test case quản lý thông tin cá nhân</t>
  </si>
  <si>
    <t>Code FE đăng ký</t>
  </si>
  <si>
    <t>Code BE đăng ký</t>
  </si>
  <si>
    <t>Review code</t>
  </si>
  <si>
    <t>Code FE đăng nhập</t>
  </si>
  <si>
    <t>Code BE đăng nhập</t>
  </si>
  <si>
    <t>Code FE quên mật khẩu</t>
  </si>
  <si>
    <t>Code BE quên mật khẩu</t>
  </si>
  <si>
    <t>Code FE xem sản phẩm</t>
  </si>
  <si>
    <t>Code BE xem sản phẩm</t>
  </si>
  <si>
    <t>Code FE xem chi tiết sản phẩm</t>
  </si>
  <si>
    <t>Code BE xem chi tiết sản phẩm</t>
  </si>
  <si>
    <t>Code FE tìm kiếm sản phẩm</t>
  </si>
  <si>
    <t>Code BE tìm kiếm sản phẩm</t>
  </si>
  <si>
    <t>Code FE quản lý thông tin cá nhân</t>
  </si>
  <si>
    <t>Code BE quản lý thông tin cá nhân</t>
  </si>
  <si>
    <t>Test trang đăng ký</t>
  </si>
  <si>
    <t>Test trang đăng nhập</t>
  </si>
  <si>
    <t>Test trang quên mật khẩu</t>
  </si>
  <si>
    <t>Test trang xem sản phẩm</t>
  </si>
  <si>
    <t>Test trang xem chi tiết sản phẩm</t>
  </si>
  <si>
    <t>Test trang tìm kiếm</t>
  </si>
  <si>
    <t>Test trang quản lý thông tin cá nhân</t>
  </si>
  <si>
    <t>Fix bug trang đăng ký</t>
  </si>
  <si>
    <t>Fix bug trang đăng nhập</t>
  </si>
  <si>
    <t>Fix bug trang quên mật khẩu</t>
  </si>
  <si>
    <t>Fix bug trang xem sản phẩm</t>
  </si>
  <si>
    <t>Fix bug trang xem chi tiết sản phẩm</t>
  </si>
  <si>
    <t>Fix bug trang tìm kiếm</t>
  </si>
  <si>
    <t>Fix bug trang quản lý thông tin cá nhân</t>
  </si>
  <si>
    <t>Re-Test trang đăng ký</t>
  </si>
  <si>
    <t>Re-Test trang đăng nhập</t>
  </si>
  <si>
    <t>Re-Test trang quên mật khẩu</t>
  </si>
  <si>
    <t>Re-Test trang xem sản phẩm</t>
  </si>
  <si>
    <t>Re-Test trang xem chi tiết sản phẩm</t>
  </si>
  <si>
    <t>Re-Test trang tìm kiếm</t>
  </si>
  <si>
    <t>Re-Test trang quản lý thông tin cá nhân</t>
  </si>
  <si>
    <t>Họp review Sprint 1</t>
  </si>
  <si>
    <t>Cùng nhìn lại và rút ra bài học từ Sprint 1</t>
  </si>
  <si>
    <t>Đức</t>
  </si>
  <si>
    <t>Huy</t>
  </si>
  <si>
    <t>Hải</t>
  </si>
  <si>
    <t>Dương</t>
  </si>
  <si>
    <t>Trị</t>
  </si>
  <si>
    <t>Họp kế hoạch Sprint 1</t>
  </si>
  <si>
    <t>Họp review Sprint 2</t>
  </si>
  <si>
    <t xml:space="preserve">Dương </t>
  </si>
  <si>
    <t>Họp lập kế hoạch sprint 2</t>
  </si>
  <si>
    <t>Tạo Sprint Backlog</t>
  </si>
  <si>
    <t>Tạo tài liệu kiểm thử cho Sprint 2</t>
  </si>
  <si>
    <t>Cùng nhìn lại và rút ra bài học từ Sprint 2</t>
  </si>
  <si>
    <t>Thiết kế giao diện xem danh sách đơn hàng</t>
  </si>
  <si>
    <t>Thiết kế giao diện xem chi tiết đơn hàng</t>
  </si>
  <si>
    <t>Thiết kế giao diện hủy đơn hàng</t>
  </si>
  <si>
    <t>Thiết kế giao diện quản lý giỏ hàng</t>
  </si>
  <si>
    <t>Thiết kế giao diện đặt hàng</t>
  </si>
  <si>
    <t>Thiết kế giao diện đánh giá sản phẩm</t>
  </si>
  <si>
    <t>Thiết kế giao diện chatbot ai</t>
  </si>
  <si>
    <t>Thiết kế test case xem danh sách đơn hàng</t>
  </si>
  <si>
    <t>Thiết kế test case xem chi tiết đơn hàng</t>
  </si>
  <si>
    <t>Thiết kế test case hủy đơn hàng</t>
  </si>
  <si>
    <t>Thiết kế test case quản lý giỏ hàng</t>
  </si>
  <si>
    <t>Thiết kế test case đặt hàng</t>
  </si>
  <si>
    <t>Thiết kế test case quản lý đánh giá sản phẩm</t>
  </si>
  <si>
    <t>Thiết kế test case chatbot ai</t>
  </si>
  <si>
    <t>Code FE xem danh sách đơn hàng</t>
  </si>
  <si>
    <t>Code BE xem danh sách đơn hàng</t>
  </si>
  <si>
    <t>Code FE xem chi tiết đơn hàng</t>
  </si>
  <si>
    <t>Code BE xem chi tiết đơn hàng</t>
  </si>
  <si>
    <t>Code FE hủy đơn hàng</t>
  </si>
  <si>
    <t>Code BE hủy đơn hàng</t>
  </si>
  <si>
    <t>Code FE quản lý giỏ hàng</t>
  </si>
  <si>
    <t>Code BE quản lý giỏ hàng</t>
  </si>
  <si>
    <t>Code FE đặt hàng</t>
  </si>
  <si>
    <t>Code BE đặt hàng</t>
  </si>
  <si>
    <t>Code FE quản lý đánh giá sản phẩm</t>
  </si>
  <si>
    <t>Code BE quản lý đánh giá sản phẩm</t>
  </si>
  <si>
    <t>Code FE chatbot ai</t>
  </si>
  <si>
    <t>Code BE chatbot ai</t>
  </si>
  <si>
    <t>Test trang xem danh sách đơn hàng</t>
  </si>
  <si>
    <t>Test trang xem chi tiết đơn hàng</t>
  </si>
  <si>
    <t>Test trang hủy đơn hàng</t>
  </si>
  <si>
    <t>Test trang quản lý giỏ hàng</t>
  </si>
  <si>
    <t>Test trang đặt hàng</t>
  </si>
  <si>
    <t>Test trang đánh giá sản phẩm</t>
  </si>
  <si>
    <t>Test trang chat bot AI</t>
  </si>
  <si>
    <t>Fix bug xem danh sách đơn hàng</t>
  </si>
  <si>
    <t>Fix bug xem chi tiết đơn hàng</t>
  </si>
  <si>
    <t>Fix bug hủy đơn hàng</t>
  </si>
  <si>
    <t>Fix bug quản lý giỏ hàng</t>
  </si>
  <si>
    <t>Fix bug đặt hàng</t>
  </si>
  <si>
    <t>Fix bug đánh giá sản phẩm</t>
  </si>
  <si>
    <t>Fix bug chat bot AI</t>
  </si>
  <si>
    <t>Re-testing xem danh sách đơn hàng</t>
  </si>
  <si>
    <t>Re-testing xem chi tiết đơn hàng</t>
  </si>
  <si>
    <t>Re-testing hủy đơn hàng</t>
  </si>
  <si>
    <t>Re-testing quản lý giỏ hàng</t>
  </si>
  <si>
    <t>Re-testing đặt hàng</t>
  </si>
  <si>
    <t>Re-testing đánh giá sản phẩm</t>
  </si>
  <si>
    <t>Re-testing chat bot AI</t>
  </si>
  <si>
    <t xml:space="preserve">Hải </t>
  </si>
  <si>
    <t>Họp lập kế hoạch sprint 3</t>
  </si>
  <si>
    <t>Tạo tài liệu kiểm thử cho Sprint 3</t>
  </si>
  <si>
    <t>Họp review Sprint 3</t>
  </si>
  <si>
    <t xml:space="preserve">Xây dựng Website mua bán thủy hải sản tích hợp
chatbot ai hỗ trợ khách hàng </t>
  </si>
  <si>
    <t>Cùng nhìn lại và rút ra bài học từ Sprint 3</t>
  </si>
  <si>
    <t>Thiết kế giao diện trang quản lý người dùng</t>
  </si>
  <si>
    <t>Thiết kế giao diện trang quản lý danh mục</t>
  </si>
  <si>
    <t xml:space="preserve">Thiết kế giao diện trang quản lý sản phẩm </t>
  </si>
  <si>
    <t>Thiết kế giao diện trang quản lý đơn hàng</t>
  </si>
  <si>
    <t>Thiết kế giao diện trang quản lý voucher</t>
  </si>
  <si>
    <t>Thiết kế giao diện trang quản lý thống kê</t>
  </si>
  <si>
    <t>Thiết kế test case trang quản lý người dùng</t>
  </si>
  <si>
    <t>Thiết kế test case trang quản lý danh mục</t>
  </si>
  <si>
    <t xml:space="preserve">Thiết kế test case trang quản lý sản phẩm </t>
  </si>
  <si>
    <t>Thiết kế test case trang quản lý đơn hàng</t>
  </si>
  <si>
    <t>Thiết kế test case trang quản lý voucher</t>
  </si>
  <si>
    <t>Thiết kế test case trang quản lý thống kê</t>
  </si>
  <si>
    <t>Code FE trang quản lý người dùng</t>
  </si>
  <si>
    <t>Code BE trang quản lý người dùng</t>
  </si>
  <si>
    <t>Code FE trang quản lý danh mục</t>
  </si>
  <si>
    <t>Code BE trang quản lý danh mục</t>
  </si>
  <si>
    <t xml:space="preserve">Code FE trang quản lý sản phẩm </t>
  </si>
  <si>
    <t xml:space="preserve">Code BE trang quản lý sản phẩm </t>
  </si>
  <si>
    <t>Code FE trang quản lý đơn hàng</t>
  </si>
  <si>
    <t>Code BE trang quản lý đơn hàng</t>
  </si>
  <si>
    <t>Code FE trang quản lý voucher</t>
  </si>
  <si>
    <t>Code BE trang quản lý voucher</t>
  </si>
  <si>
    <t>Code FE trang quản lý thống kê</t>
  </si>
  <si>
    <t>Code BE trang quản lý thống kê</t>
  </si>
  <si>
    <t>Test trang quản lý người dùng</t>
  </si>
  <si>
    <t>Test trang quản lý danh mục</t>
  </si>
  <si>
    <t xml:space="preserve">Test trang quản lý sản phẩm </t>
  </si>
  <si>
    <t>Test trang quản lý đơn hàng</t>
  </si>
  <si>
    <t>Test trang quản lý voucher</t>
  </si>
  <si>
    <t>Test trang quản lý thống kê</t>
  </si>
  <si>
    <t>Fix bug trang quản lý người dùng</t>
  </si>
  <si>
    <t>Fix bug trang quản lý danh mục</t>
  </si>
  <si>
    <t xml:space="preserve">Fix bug trang quản lý sản phẩm </t>
  </si>
  <si>
    <t>Fix bug trang quản lý đơn hàng</t>
  </si>
  <si>
    <t>Fix bug trang quản lý voucher</t>
  </si>
  <si>
    <t>Fix bug trang quản lý thống kê</t>
  </si>
  <si>
    <t>Re-testing trang quản lý người dùng</t>
  </si>
  <si>
    <t>Re-testing trang quản lý danh mục</t>
  </si>
  <si>
    <t xml:space="preserve">Re-testing trang quản lý sản phẩm </t>
  </si>
  <si>
    <t>Re-testing trang quản lý đơn hàng</t>
  </si>
  <si>
    <t>Re-testing trang quản lý voucher</t>
  </si>
  <si>
    <t>Re-testing trang quản lý thống kê</t>
  </si>
  <si>
    <t xml:space="preserve">All team </t>
  </si>
  <si>
    <t xml:space="preserve">Trị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</si>
</sst>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8"/>
      <name val="Calibri"/>
      <family val="2"/>
      <charset val="163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0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1" fillId="9" borderId="8" xfId="0" applyFont="1" applyFill="1" applyBorder="1"/>
    <xf numFmtId="0" fontId="1" fillId="0" borderId="9" xfId="0" applyFont="1" applyBorder="1"/>
    <xf numFmtId="0" fontId="1" fillId="9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15875"/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</c:numCache>
            </c:numRef>
          </c:cat>
          <c:val>
            <c:numRef>
              <c:f>'Sprint 1'!$I$86:$X$86</c:f>
              <c:numCache>
                <c:formatCode>General</c:formatCode>
                <c:ptCount val="16"/>
                <c:pt idx="0">
                  <c:v>143</c:v>
                </c:pt>
                <c:pt idx="1">
                  <c:v>135</c:v>
                </c:pt>
                <c:pt idx="2">
                  <c:v>125</c:v>
                </c:pt>
                <c:pt idx="3">
                  <c:v>116</c:v>
                </c:pt>
                <c:pt idx="4">
                  <c:v>109</c:v>
                </c:pt>
                <c:pt idx="5">
                  <c:v>102</c:v>
                </c:pt>
                <c:pt idx="6">
                  <c:v>95</c:v>
                </c:pt>
                <c:pt idx="7">
                  <c:v>90</c:v>
                </c:pt>
                <c:pt idx="8">
                  <c:v>80</c:v>
                </c:pt>
                <c:pt idx="9">
                  <c:v>65</c:v>
                </c:pt>
                <c:pt idx="10">
                  <c:v>51</c:v>
                </c:pt>
                <c:pt idx="11">
                  <c:v>32</c:v>
                </c:pt>
                <c:pt idx="12">
                  <c:v>24</c:v>
                </c:pt>
                <c:pt idx="13">
                  <c:v>16</c:v>
                </c:pt>
                <c:pt idx="14">
                  <c:v>6</c:v>
                </c:pt>
                <c:pt idx="15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spPr>
            <a:ln w="15875"/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</c:numCache>
            </c:numRef>
          </c:cat>
          <c:val>
            <c:numRef>
              <c:f>'Sprint 1'!$I$87:$X$87</c:f>
              <c:numCache>
                <c:formatCode>General</c:formatCode>
                <c:ptCount val="16"/>
                <c:pt idx="0">
                  <c:v>143</c:v>
                </c:pt>
                <c:pt idx="1">
                  <c:v>135</c:v>
                </c:pt>
                <c:pt idx="2">
                  <c:v>126</c:v>
                </c:pt>
                <c:pt idx="3">
                  <c:v>117</c:v>
                </c:pt>
                <c:pt idx="4">
                  <c:v>109</c:v>
                </c:pt>
                <c:pt idx="5">
                  <c:v>101</c:v>
                </c:pt>
                <c:pt idx="6">
                  <c:v>95</c:v>
                </c:pt>
                <c:pt idx="7">
                  <c:v>90</c:v>
                </c:pt>
                <c:pt idx="8">
                  <c:v>74</c:v>
                </c:pt>
                <c:pt idx="9">
                  <c:v>65</c:v>
                </c:pt>
                <c:pt idx="10">
                  <c:v>51</c:v>
                </c:pt>
                <c:pt idx="11">
                  <c:v>33</c:v>
                </c:pt>
                <c:pt idx="12">
                  <c:v>24</c:v>
                </c:pt>
                <c:pt idx="13">
                  <c:v>15</c:v>
                </c:pt>
                <c:pt idx="14">
                  <c:v>6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1'!$G$86:$X$86</c:f>
              <c:numCache>
                <c:formatCode>General</c:formatCode>
                <c:ptCount val="18"/>
                <c:pt idx="0">
                  <c:v>148</c:v>
                </c:pt>
                <c:pt idx="2">
                  <c:v>143</c:v>
                </c:pt>
                <c:pt idx="3">
                  <c:v>135</c:v>
                </c:pt>
                <c:pt idx="4">
                  <c:v>125</c:v>
                </c:pt>
                <c:pt idx="5">
                  <c:v>116</c:v>
                </c:pt>
                <c:pt idx="6">
                  <c:v>109</c:v>
                </c:pt>
                <c:pt idx="7">
                  <c:v>102</c:v>
                </c:pt>
                <c:pt idx="8">
                  <c:v>95</c:v>
                </c:pt>
                <c:pt idx="9">
                  <c:v>90</c:v>
                </c:pt>
                <c:pt idx="10">
                  <c:v>80</c:v>
                </c:pt>
                <c:pt idx="11">
                  <c:v>65</c:v>
                </c:pt>
                <c:pt idx="12">
                  <c:v>51</c:v>
                </c:pt>
                <c:pt idx="13">
                  <c:v>32</c:v>
                </c:pt>
                <c:pt idx="14">
                  <c:v>24</c:v>
                </c:pt>
                <c:pt idx="15">
                  <c:v>16</c:v>
                </c:pt>
                <c:pt idx="16">
                  <c:v>6</c:v>
                </c:pt>
                <c:pt idx="1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1'!$G$87:$X$87</c:f>
              <c:numCache>
                <c:formatCode>General</c:formatCode>
                <c:ptCount val="18"/>
                <c:pt idx="0">
                  <c:v>147</c:v>
                </c:pt>
                <c:pt idx="2">
                  <c:v>143</c:v>
                </c:pt>
                <c:pt idx="3">
                  <c:v>135</c:v>
                </c:pt>
                <c:pt idx="4">
                  <c:v>126</c:v>
                </c:pt>
                <c:pt idx="5">
                  <c:v>117</c:v>
                </c:pt>
                <c:pt idx="6">
                  <c:v>109</c:v>
                </c:pt>
                <c:pt idx="7">
                  <c:v>101</c:v>
                </c:pt>
                <c:pt idx="8">
                  <c:v>95</c:v>
                </c:pt>
                <c:pt idx="9">
                  <c:v>90</c:v>
                </c:pt>
                <c:pt idx="10">
                  <c:v>74</c:v>
                </c:pt>
                <c:pt idx="11">
                  <c:v>65</c:v>
                </c:pt>
                <c:pt idx="12">
                  <c:v>51</c:v>
                </c:pt>
                <c:pt idx="13">
                  <c:v>33</c:v>
                </c:pt>
                <c:pt idx="14">
                  <c:v>24</c:v>
                </c:pt>
                <c:pt idx="15">
                  <c:v>15</c:v>
                </c:pt>
                <c:pt idx="16">
                  <c:v>6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35150335322267E-2"/>
          <c:y val="2.4921754374921043E-2"/>
          <c:w val="0.85583856359618293"/>
          <c:h val="0.93920490631005316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15875"/>
          </c:spPr>
          <c:marker>
            <c:symbol val="none"/>
          </c:marker>
          <c:cat>
            <c:numRef>
              <c:f>'Sprint 2'!$I$13:$X$13</c:f>
              <c:numCache>
                <c:formatCode>dd/mm</c:formatCode>
                <c:ptCount val="16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</c:numCache>
            </c:numRef>
          </c:cat>
          <c:val>
            <c:numRef>
              <c:f>'Sprint 2'!$I$85:$X$85</c:f>
              <c:numCache>
                <c:formatCode>General</c:formatCode>
                <c:ptCount val="16"/>
                <c:pt idx="0">
                  <c:v>159</c:v>
                </c:pt>
                <c:pt idx="1">
                  <c:v>155</c:v>
                </c:pt>
                <c:pt idx="2">
                  <c:v>147</c:v>
                </c:pt>
                <c:pt idx="3">
                  <c:v>139</c:v>
                </c:pt>
                <c:pt idx="4">
                  <c:v>137</c:v>
                </c:pt>
                <c:pt idx="5">
                  <c:v>124</c:v>
                </c:pt>
                <c:pt idx="6">
                  <c:v>115</c:v>
                </c:pt>
                <c:pt idx="7">
                  <c:v>103</c:v>
                </c:pt>
                <c:pt idx="8">
                  <c:v>93</c:v>
                </c:pt>
                <c:pt idx="9">
                  <c:v>86</c:v>
                </c:pt>
                <c:pt idx="10">
                  <c:v>71</c:v>
                </c:pt>
                <c:pt idx="11">
                  <c:v>62</c:v>
                </c:pt>
                <c:pt idx="12">
                  <c:v>46</c:v>
                </c:pt>
                <c:pt idx="13">
                  <c:v>30</c:v>
                </c:pt>
                <c:pt idx="14">
                  <c:v>14</c:v>
                </c:pt>
                <c:pt idx="15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spPr>
            <a:ln w="15875"/>
          </c:spPr>
          <c:marker>
            <c:symbol val="none"/>
          </c:marker>
          <c:cat>
            <c:numRef>
              <c:f>'Sprint 2'!$I$13:$X$13</c:f>
              <c:numCache>
                <c:formatCode>dd/mm</c:formatCode>
                <c:ptCount val="16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</c:numCache>
            </c:numRef>
          </c:cat>
          <c:val>
            <c:numRef>
              <c:f>'Sprint 2'!$I$86:$X$86</c:f>
              <c:numCache>
                <c:formatCode>General</c:formatCode>
                <c:ptCount val="16"/>
                <c:pt idx="0">
                  <c:v>161</c:v>
                </c:pt>
                <c:pt idx="1">
                  <c:v>155</c:v>
                </c:pt>
                <c:pt idx="2">
                  <c:v>147</c:v>
                </c:pt>
                <c:pt idx="3">
                  <c:v>139</c:v>
                </c:pt>
                <c:pt idx="4">
                  <c:v>133</c:v>
                </c:pt>
                <c:pt idx="5">
                  <c:v>125</c:v>
                </c:pt>
                <c:pt idx="6">
                  <c:v>115</c:v>
                </c:pt>
                <c:pt idx="7">
                  <c:v>105</c:v>
                </c:pt>
                <c:pt idx="8">
                  <c:v>93</c:v>
                </c:pt>
                <c:pt idx="9">
                  <c:v>83</c:v>
                </c:pt>
                <c:pt idx="10">
                  <c:v>71</c:v>
                </c:pt>
                <c:pt idx="11">
                  <c:v>62</c:v>
                </c:pt>
                <c:pt idx="12">
                  <c:v>45</c:v>
                </c:pt>
                <c:pt idx="13">
                  <c:v>29</c:v>
                </c:pt>
                <c:pt idx="14">
                  <c:v>13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816104844465808E-2"/>
          <c:y val="3.0333507340452499E-2"/>
          <c:w val="0.84375096978134578"/>
          <c:h val="0.89453726400284461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15875"/>
          </c:spPr>
          <c:marker>
            <c:symbol val="none"/>
          </c:marker>
          <c:cat>
            <c:numRef>
              <c:f>'Sprint 3'!$I$13:$Y$13</c:f>
              <c:numCache>
                <c:formatCode>dd/mm</c:formatCode>
                <c:ptCount val="17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  <c:pt idx="16">
                  <c:v>46150</c:v>
                </c:pt>
              </c:numCache>
            </c:numRef>
          </c:cat>
          <c:val>
            <c:numRef>
              <c:f>'Sprint 3'!$I$77:$Y$77</c:f>
              <c:numCache>
                <c:formatCode>General</c:formatCode>
                <c:ptCount val="17"/>
                <c:pt idx="0">
                  <c:v>166</c:v>
                </c:pt>
                <c:pt idx="1">
                  <c:v>156</c:v>
                </c:pt>
                <c:pt idx="2">
                  <c:v>145</c:v>
                </c:pt>
                <c:pt idx="3">
                  <c:v>136</c:v>
                </c:pt>
                <c:pt idx="4">
                  <c:v>123</c:v>
                </c:pt>
                <c:pt idx="5">
                  <c:v>114</c:v>
                </c:pt>
                <c:pt idx="6">
                  <c:v>100</c:v>
                </c:pt>
                <c:pt idx="7">
                  <c:v>96</c:v>
                </c:pt>
                <c:pt idx="8">
                  <c:v>88</c:v>
                </c:pt>
                <c:pt idx="9">
                  <c:v>82</c:v>
                </c:pt>
                <c:pt idx="10">
                  <c:v>71</c:v>
                </c:pt>
                <c:pt idx="11">
                  <c:v>61</c:v>
                </c:pt>
                <c:pt idx="12">
                  <c:v>52</c:v>
                </c:pt>
                <c:pt idx="13">
                  <c:v>39</c:v>
                </c:pt>
                <c:pt idx="14">
                  <c:v>26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spPr>
            <a:ln w="15875"/>
          </c:spPr>
          <c:marker>
            <c:symbol val="none"/>
          </c:marker>
          <c:cat>
            <c:numRef>
              <c:f>'Sprint 3'!$I$13:$Y$13</c:f>
              <c:numCache>
                <c:formatCode>dd/mm</c:formatCode>
                <c:ptCount val="17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  <c:pt idx="16">
                  <c:v>46150</c:v>
                </c:pt>
              </c:numCache>
            </c:numRef>
          </c:cat>
          <c:val>
            <c:numRef>
              <c:f>'Sprint 3'!$I$78:$Y$78</c:f>
              <c:numCache>
                <c:formatCode>General</c:formatCode>
                <c:ptCount val="17"/>
                <c:pt idx="0">
                  <c:v>166</c:v>
                </c:pt>
                <c:pt idx="1">
                  <c:v>158</c:v>
                </c:pt>
                <c:pt idx="2">
                  <c:v>145</c:v>
                </c:pt>
                <c:pt idx="3">
                  <c:v>134</c:v>
                </c:pt>
                <c:pt idx="4">
                  <c:v>124</c:v>
                </c:pt>
                <c:pt idx="5">
                  <c:v>114</c:v>
                </c:pt>
                <c:pt idx="6">
                  <c:v>102</c:v>
                </c:pt>
                <c:pt idx="7">
                  <c:v>96</c:v>
                </c:pt>
                <c:pt idx="8">
                  <c:v>88</c:v>
                </c:pt>
                <c:pt idx="9">
                  <c:v>82</c:v>
                </c:pt>
                <c:pt idx="10">
                  <c:v>69</c:v>
                </c:pt>
                <c:pt idx="11">
                  <c:v>60</c:v>
                </c:pt>
                <c:pt idx="12">
                  <c:v>52</c:v>
                </c:pt>
                <c:pt idx="13">
                  <c:v>38</c:v>
                </c:pt>
                <c:pt idx="14">
                  <c:v>24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88</xdr:row>
      <xdr:rowOff>57149</xdr:rowOff>
    </xdr:from>
    <xdr:to>
      <xdr:col>18</xdr:col>
      <xdr:colOff>285750</xdr:colOff>
      <xdr:row>120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90</xdr:row>
      <xdr:rowOff>29936</xdr:rowOff>
    </xdr:from>
    <xdr:to>
      <xdr:col>16</xdr:col>
      <xdr:colOff>326571</xdr:colOff>
      <xdr:row>103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183774</xdr:colOff>
      <xdr:row>87</xdr:row>
      <xdr:rowOff>42258</xdr:rowOff>
    </xdr:from>
    <xdr:to>
      <xdr:col>15</xdr:col>
      <xdr:colOff>370115</xdr:colOff>
      <xdr:row>124</xdr:row>
      <xdr:rowOff>65314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407280</xdr:colOff>
      <xdr:row>79</xdr:row>
      <xdr:rowOff>140378</xdr:rowOff>
    </xdr:from>
    <xdr:to>
      <xdr:col>14</xdr:col>
      <xdr:colOff>326571</xdr:colOff>
      <xdr:row>112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"/>
  <sheetViews>
    <sheetView view="pageBreakPreview" topLeftCell="A100" zoomScale="60" zoomScaleNormal="70" workbookViewId="0">
      <selection activeCell="T107" sqref="T107"/>
    </sheetView>
  </sheetViews>
  <sheetFormatPr defaultColWidth="9.140625" defaultRowHeight="16.5" x14ac:dyDescent="0.25"/>
  <cols>
    <col min="1" max="1" width="16" style="1" customWidth="1"/>
    <col min="2" max="2" width="20.28515625" style="1" customWidth="1"/>
    <col min="3" max="3" width="55.42578125" style="1" customWidth="1"/>
    <col min="4" max="5" width="11" style="1" customWidth="1"/>
    <col min="6" max="6" width="20.5703125" style="1" customWidth="1"/>
    <col min="7" max="8" width="6.140625" style="1" customWidth="1"/>
    <col min="9" max="9" width="6" style="1" customWidth="1"/>
    <col min="10" max="13" width="6.140625" style="1" customWidth="1"/>
    <col min="14" max="14" width="6" style="1" customWidth="1"/>
    <col min="15" max="15" width="6.140625" style="1" customWidth="1"/>
    <col min="16" max="20" width="6" style="1" customWidth="1"/>
    <col min="21" max="23" width="6.140625" style="1" customWidth="1"/>
    <col min="24" max="24" width="6" style="1" customWidth="1"/>
    <col min="25" max="16384" width="9.140625" style="1"/>
  </cols>
  <sheetData>
    <row r="1" spans="1:24" ht="33.75" thickBot="1" x14ac:dyDescent="0.3">
      <c r="A1" s="53" t="s">
        <v>3</v>
      </c>
      <c r="B1" s="53"/>
      <c r="C1" s="33" t="s">
        <v>35</v>
      </c>
      <c r="E1" s="9"/>
      <c r="F1" s="10" t="s">
        <v>34</v>
      </c>
    </row>
    <row r="2" spans="1:24" ht="17.25" thickBot="1" x14ac:dyDescent="0.3">
      <c r="A2" s="53" t="s">
        <v>2</v>
      </c>
      <c r="B2" s="53"/>
      <c r="C2" s="3" t="s">
        <v>4</v>
      </c>
      <c r="E2" s="12"/>
      <c r="F2" s="11" t="s">
        <v>32</v>
      </c>
    </row>
    <row r="3" spans="1:24" ht="17.25" thickBot="1" x14ac:dyDescent="0.3">
      <c r="A3" s="53" t="s">
        <v>1</v>
      </c>
      <c r="B3" s="53"/>
      <c r="C3" s="34">
        <v>46103</v>
      </c>
      <c r="E3" s="13"/>
      <c r="F3" s="14" t="s">
        <v>31</v>
      </c>
    </row>
    <row r="4" spans="1:24" ht="17.25" customHeight="1" thickBot="1" x14ac:dyDescent="0.3">
      <c r="A4" s="53" t="s">
        <v>0</v>
      </c>
      <c r="B4" s="53"/>
      <c r="C4" s="34">
        <v>46118</v>
      </c>
    </row>
    <row r="5" spans="1:24" ht="16.5" customHeight="1" thickBot="1" x14ac:dyDescent="0.3"/>
    <row r="6" spans="1:24" ht="17.25" thickBot="1" x14ac:dyDescent="0.3">
      <c r="B6" s="54" t="s">
        <v>5</v>
      </c>
      <c r="C6" s="54"/>
      <c r="D6" s="54"/>
      <c r="E6" s="54"/>
    </row>
    <row r="7" spans="1:24" ht="17.25" thickBot="1" x14ac:dyDescent="0.3">
      <c r="B7" s="6" t="s">
        <v>6</v>
      </c>
      <c r="C7" s="6" t="s">
        <v>28</v>
      </c>
      <c r="D7" s="6" t="s">
        <v>11</v>
      </c>
      <c r="E7" s="6" t="s">
        <v>27</v>
      </c>
    </row>
    <row r="8" spans="1:24" ht="17.25" thickBot="1" x14ac:dyDescent="0.3">
      <c r="B8" s="8">
        <v>1</v>
      </c>
      <c r="C8" s="3" t="s">
        <v>36</v>
      </c>
      <c r="D8" s="3">
        <v>51</v>
      </c>
      <c r="E8" s="3">
        <v>45</v>
      </c>
    </row>
    <row r="9" spans="1:24" ht="17.25" thickBot="1" x14ac:dyDescent="0.3">
      <c r="B9" s="8">
        <v>2</v>
      </c>
      <c r="C9" s="3" t="s">
        <v>37</v>
      </c>
      <c r="D9" s="3">
        <v>42</v>
      </c>
      <c r="E9" s="3">
        <v>44</v>
      </c>
    </row>
    <row r="10" spans="1:24" ht="17.25" thickBot="1" x14ac:dyDescent="0.3">
      <c r="B10" s="8">
        <v>3</v>
      </c>
      <c r="C10" s="3" t="s">
        <v>38</v>
      </c>
      <c r="D10" s="3">
        <v>44</v>
      </c>
      <c r="E10" s="3">
        <v>47</v>
      </c>
    </row>
    <row r="11" spans="1:24" ht="17.25" thickBot="1" x14ac:dyDescent="0.3">
      <c r="B11" s="8">
        <v>4</v>
      </c>
      <c r="C11" s="3" t="s">
        <v>39</v>
      </c>
      <c r="D11" s="3">
        <v>6</v>
      </c>
      <c r="E11" s="3">
        <v>6</v>
      </c>
    </row>
    <row r="12" spans="1:24" ht="17.25" thickBot="1" x14ac:dyDescent="0.3">
      <c r="B12" s="8">
        <v>5</v>
      </c>
      <c r="C12" s="3" t="s">
        <v>40</v>
      </c>
      <c r="D12" s="3">
        <v>5</v>
      </c>
      <c r="E12" s="3">
        <v>5</v>
      </c>
    </row>
    <row r="13" spans="1:24" ht="17.25" thickBot="1" x14ac:dyDescent="0.3">
      <c r="B13" s="54" t="s">
        <v>12</v>
      </c>
      <c r="C13" s="54"/>
      <c r="D13" s="5">
        <f>SUM(D8:D12)</f>
        <v>148</v>
      </c>
      <c r="E13" s="5">
        <f>SUM(E8:E12)</f>
        <v>147</v>
      </c>
    </row>
    <row r="15" spans="1:24" ht="62.25" customHeight="1" x14ac:dyDescent="0.25">
      <c r="A15" s="15" t="s">
        <v>7</v>
      </c>
      <c r="B15" s="15" t="s">
        <v>8</v>
      </c>
      <c r="C15" s="56" t="s">
        <v>9</v>
      </c>
      <c r="D15" s="57"/>
      <c r="E15" s="56" t="s">
        <v>10</v>
      </c>
      <c r="F15" s="57"/>
      <c r="G15" s="16" t="s">
        <v>11</v>
      </c>
      <c r="H15" s="16" t="s">
        <v>27</v>
      </c>
      <c r="I15" s="17">
        <v>46103</v>
      </c>
      <c r="J15" s="17">
        <v>46104</v>
      </c>
      <c r="K15" s="17">
        <v>46105</v>
      </c>
      <c r="L15" s="17">
        <v>46106</v>
      </c>
      <c r="M15" s="17">
        <v>46107</v>
      </c>
      <c r="N15" s="17">
        <v>46108</v>
      </c>
      <c r="O15" s="17">
        <v>46109</v>
      </c>
      <c r="P15" s="17">
        <v>46110</v>
      </c>
      <c r="Q15" s="17">
        <v>46111</v>
      </c>
      <c r="R15" s="17">
        <v>46112</v>
      </c>
      <c r="S15" s="17">
        <v>46113</v>
      </c>
      <c r="T15" s="17">
        <v>46114</v>
      </c>
      <c r="U15" s="17">
        <v>46115</v>
      </c>
      <c r="V15" s="17">
        <v>46116</v>
      </c>
      <c r="W15" s="17">
        <v>46117</v>
      </c>
      <c r="X15" s="17">
        <v>46118</v>
      </c>
    </row>
    <row r="16" spans="1:24" x14ac:dyDescent="0.25">
      <c r="A16" s="46" t="s">
        <v>4</v>
      </c>
      <c r="B16" s="36" t="s">
        <v>102</v>
      </c>
      <c r="C16" s="55"/>
      <c r="D16" s="37"/>
      <c r="E16" s="38" t="s">
        <v>26</v>
      </c>
      <c r="F16" s="39"/>
      <c r="G16" s="18">
        <v>4</v>
      </c>
      <c r="H16" s="18">
        <v>4</v>
      </c>
      <c r="I16" s="19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</row>
    <row r="17" spans="1:24" x14ac:dyDescent="0.25">
      <c r="A17" s="47"/>
      <c r="B17" s="36" t="s">
        <v>13</v>
      </c>
      <c r="C17" s="55"/>
      <c r="D17" s="37"/>
      <c r="E17" s="38" t="s">
        <v>97</v>
      </c>
      <c r="F17" s="39"/>
      <c r="G17" s="18">
        <v>6</v>
      </c>
      <c r="H17" s="18">
        <v>6</v>
      </c>
      <c r="I17" s="18">
        <v>6</v>
      </c>
      <c r="J17" s="18">
        <v>6</v>
      </c>
      <c r="K17" s="18">
        <v>6</v>
      </c>
      <c r="L17" s="18">
        <v>6</v>
      </c>
      <c r="M17" s="18">
        <v>6</v>
      </c>
      <c r="N17" s="18">
        <v>6</v>
      </c>
      <c r="O17" s="18">
        <v>6</v>
      </c>
      <c r="P17" s="18">
        <v>6</v>
      </c>
      <c r="Q17" s="18">
        <v>6</v>
      </c>
      <c r="R17" s="18">
        <v>6</v>
      </c>
      <c r="S17" s="18">
        <v>5</v>
      </c>
      <c r="T17" s="18">
        <v>4</v>
      </c>
      <c r="U17" s="18">
        <v>3</v>
      </c>
      <c r="V17" s="18">
        <v>2</v>
      </c>
      <c r="W17" s="18">
        <v>1</v>
      </c>
      <c r="X17" s="19">
        <v>0</v>
      </c>
    </row>
    <row r="18" spans="1:24" x14ac:dyDescent="0.25">
      <c r="A18" s="47"/>
      <c r="B18" s="36" t="s">
        <v>41</v>
      </c>
      <c r="C18" s="55"/>
      <c r="D18" s="37"/>
      <c r="E18" s="38" t="s">
        <v>97</v>
      </c>
      <c r="F18" s="39"/>
      <c r="G18" s="18">
        <v>6</v>
      </c>
      <c r="H18" s="18">
        <v>6</v>
      </c>
      <c r="I18" s="18">
        <v>6</v>
      </c>
      <c r="J18" s="18">
        <v>6</v>
      </c>
      <c r="K18" s="18">
        <v>6</v>
      </c>
      <c r="L18" s="18">
        <v>6</v>
      </c>
      <c r="M18" s="18">
        <v>6</v>
      </c>
      <c r="N18" s="18">
        <v>6</v>
      </c>
      <c r="O18" s="18">
        <v>6</v>
      </c>
      <c r="P18" s="18">
        <v>6</v>
      </c>
      <c r="Q18" s="18">
        <v>6</v>
      </c>
      <c r="R18" s="18">
        <v>6</v>
      </c>
      <c r="S18" s="18">
        <v>5</v>
      </c>
      <c r="T18" s="18">
        <v>4</v>
      </c>
      <c r="U18" s="18">
        <v>3</v>
      </c>
      <c r="V18" s="18">
        <v>2</v>
      </c>
      <c r="W18" s="18">
        <v>1</v>
      </c>
      <c r="X18" s="19">
        <v>0</v>
      </c>
    </row>
    <row r="19" spans="1:24" x14ac:dyDescent="0.25">
      <c r="A19" s="47"/>
      <c r="B19" s="36" t="s">
        <v>42</v>
      </c>
      <c r="C19" s="55"/>
      <c r="D19" s="37"/>
      <c r="E19" s="38" t="s">
        <v>26</v>
      </c>
      <c r="F19" s="39"/>
      <c r="G19" s="18">
        <v>6</v>
      </c>
      <c r="H19" s="18">
        <v>6</v>
      </c>
      <c r="I19" s="18">
        <v>6</v>
      </c>
      <c r="J19" s="19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</row>
    <row r="20" spans="1:24" x14ac:dyDescent="0.25">
      <c r="A20" s="47"/>
      <c r="B20" s="36" t="s">
        <v>43</v>
      </c>
      <c r="C20" s="55"/>
      <c r="D20" s="37"/>
      <c r="E20" s="38" t="s">
        <v>98</v>
      </c>
      <c r="F20" s="39"/>
      <c r="G20" s="18">
        <v>2</v>
      </c>
      <c r="H20" s="18">
        <v>2</v>
      </c>
      <c r="I20" s="18">
        <v>2</v>
      </c>
      <c r="J20" s="19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</row>
    <row r="21" spans="1:24" x14ac:dyDescent="0.25">
      <c r="A21" s="47"/>
      <c r="B21" s="46" t="s">
        <v>14</v>
      </c>
      <c r="C21" s="36" t="s">
        <v>44</v>
      </c>
      <c r="D21" s="37"/>
      <c r="E21" s="38" t="s">
        <v>97</v>
      </c>
      <c r="F21" s="39"/>
      <c r="G21" s="18">
        <v>1</v>
      </c>
      <c r="H21" s="18">
        <v>1</v>
      </c>
      <c r="I21" s="18">
        <v>1</v>
      </c>
      <c r="J21" s="18">
        <v>1</v>
      </c>
      <c r="K21" s="19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</row>
    <row r="22" spans="1:24" x14ac:dyDescent="0.25">
      <c r="A22" s="47"/>
      <c r="B22" s="47"/>
      <c r="C22" s="36" t="s">
        <v>45</v>
      </c>
      <c r="D22" s="37"/>
      <c r="E22" s="38" t="s">
        <v>99</v>
      </c>
      <c r="F22" s="39"/>
      <c r="G22" s="18">
        <v>1</v>
      </c>
      <c r="H22" s="18">
        <v>1</v>
      </c>
      <c r="I22" s="18">
        <v>1</v>
      </c>
      <c r="J22" s="18">
        <v>1</v>
      </c>
      <c r="K22" s="19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</row>
    <row r="23" spans="1:24" x14ac:dyDescent="0.25">
      <c r="A23" s="47"/>
      <c r="B23" s="47"/>
      <c r="C23" s="36" t="s">
        <v>46</v>
      </c>
      <c r="D23" s="37"/>
      <c r="E23" s="38" t="s">
        <v>98</v>
      </c>
      <c r="F23" s="39"/>
      <c r="G23" s="18">
        <v>1</v>
      </c>
      <c r="H23" s="18">
        <v>1</v>
      </c>
      <c r="I23" s="18">
        <v>1</v>
      </c>
      <c r="J23" s="18">
        <v>1</v>
      </c>
      <c r="K23" s="19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</row>
    <row r="24" spans="1:24" x14ac:dyDescent="0.25">
      <c r="A24" s="47"/>
      <c r="B24" s="47"/>
      <c r="C24" s="36" t="s">
        <v>47</v>
      </c>
      <c r="D24" s="37"/>
      <c r="E24" s="38" t="s">
        <v>100</v>
      </c>
      <c r="F24" s="39"/>
      <c r="G24" s="18">
        <v>1</v>
      </c>
      <c r="H24" s="18">
        <v>1</v>
      </c>
      <c r="I24" s="18">
        <v>1</v>
      </c>
      <c r="J24" s="18">
        <v>1</v>
      </c>
      <c r="K24" s="19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</row>
    <row r="25" spans="1:24" x14ac:dyDescent="0.25">
      <c r="A25" s="47"/>
      <c r="B25" s="47"/>
      <c r="C25" s="36" t="s">
        <v>48</v>
      </c>
      <c r="D25" s="37"/>
      <c r="E25" s="38" t="s">
        <v>101</v>
      </c>
      <c r="F25" s="39"/>
      <c r="G25" s="18">
        <v>1</v>
      </c>
      <c r="H25" s="18">
        <v>1</v>
      </c>
      <c r="I25" s="18">
        <v>1</v>
      </c>
      <c r="J25" s="18">
        <v>1</v>
      </c>
      <c r="K25" s="19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</row>
    <row r="26" spans="1:24" x14ac:dyDescent="0.25">
      <c r="A26" s="47"/>
      <c r="B26" s="47"/>
      <c r="C26" s="36" t="s">
        <v>49</v>
      </c>
      <c r="D26" s="37"/>
      <c r="E26" s="38" t="s">
        <v>99</v>
      </c>
      <c r="F26" s="39"/>
      <c r="G26" s="18">
        <v>1</v>
      </c>
      <c r="H26" s="18">
        <v>1</v>
      </c>
      <c r="I26" s="18">
        <v>1</v>
      </c>
      <c r="J26" s="18">
        <v>1</v>
      </c>
      <c r="K26" s="19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</row>
    <row r="27" spans="1:24" x14ac:dyDescent="0.25">
      <c r="A27" s="47"/>
      <c r="B27" s="47"/>
      <c r="C27" s="36" t="s">
        <v>50</v>
      </c>
      <c r="D27" s="37"/>
      <c r="E27" s="38" t="s">
        <v>97</v>
      </c>
      <c r="F27" s="39"/>
      <c r="G27" s="18">
        <v>1</v>
      </c>
      <c r="H27" s="18">
        <v>1</v>
      </c>
      <c r="I27" s="18">
        <v>1</v>
      </c>
      <c r="J27" s="18">
        <v>1</v>
      </c>
      <c r="K27" s="19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</row>
    <row r="28" spans="1:24" x14ac:dyDescent="0.25">
      <c r="A28" s="47"/>
      <c r="B28" s="47"/>
      <c r="C28" s="36" t="s">
        <v>51</v>
      </c>
      <c r="D28" s="37"/>
      <c r="E28" s="38" t="s">
        <v>26</v>
      </c>
      <c r="F28" s="39"/>
      <c r="G28" s="18">
        <v>1</v>
      </c>
      <c r="H28" s="18">
        <v>2</v>
      </c>
      <c r="I28" s="18">
        <v>2</v>
      </c>
      <c r="J28" s="18">
        <v>2</v>
      </c>
      <c r="K28" s="19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</row>
    <row r="29" spans="1:24" x14ac:dyDescent="0.25">
      <c r="A29" s="47"/>
      <c r="B29" s="47"/>
      <c r="C29" s="36"/>
      <c r="D29" s="37"/>
      <c r="E29" s="38"/>
      <c r="F29" s="39"/>
      <c r="G29" s="18"/>
      <c r="H29" s="18"/>
      <c r="I29" s="18"/>
      <c r="J29" s="18"/>
      <c r="K29" s="20">
        <v>-1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x14ac:dyDescent="0.25">
      <c r="A30" s="47"/>
      <c r="B30" s="46" t="s">
        <v>15</v>
      </c>
      <c r="C30" s="36" t="s">
        <v>52</v>
      </c>
      <c r="D30" s="37"/>
      <c r="E30" s="38" t="s">
        <v>97</v>
      </c>
      <c r="F30" s="39"/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9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</row>
    <row r="31" spans="1:24" x14ac:dyDescent="0.25">
      <c r="A31" s="47"/>
      <c r="B31" s="47"/>
      <c r="C31" s="36" t="s">
        <v>53</v>
      </c>
      <c r="D31" s="37"/>
      <c r="E31" s="38" t="s">
        <v>97</v>
      </c>
      <c r="F31" s="39"/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9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</row>
    <row r="32" spans="1:24" x14ac:dyDescent="0.25">
      <c r="A32" s="47"/>
      <c r="B32" s="47"/>
      <c r="C32" s="36" t="s">
        <v>54</v>
      </c>
      <c r="D32" s="37"/>
      <c r="E32" s="38" t="s">
        <v>97</v>
      </c>
      <c r="F32" s="39"/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9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</row>
    <row r="33" spans="1:24" x14ac:dyDescent="0.25">
      <c r="A33" s="47"/>
      <c r="B33" s="47"/>
      <c r="C33" s="36" t="s">
        <v>55</v>
      </c>
      <c r="D33" s="37"/>
      <c r="E33" s="38" t="s">
        <v>97</v>
      </c>
      <c r="F33" s="39"/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9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</row>
    <row r="34" spans="1:24" x14ac:dyDescent="0.25">
      <c r="A34" s="47"/>
      <c r="B34" s="47"/>
      <c r="C34" s="36" t="s">
        <v>56</v>
      </c>
      <c r="D34" s="37"/>
      <c r="E34" s="38" t="s">
        <v>97</v>
      </c>
      <c r="F34" s="39"/>
      <c r="G34" s="18">
        <v>1</v>
      </c>
      <c r="H34" s="18">
        <v>2</v>
      </c>
      <c r="I34" s="18">
        <v>2</v>
      </c>
      <c r="J34" s="18">
        <v>2</v>
      </c>
      <c r="K34" s="18">
        <v>2</v>
      </c>
      <c r="L34" s="19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</row>
    <row r="35" spans="1:24" x14ac:dyDescent="0.25">
      <c r="A35" s="47"/>
      <c r="B35" s="47"/>
      <c r="C35" s="36"/>
      <c r="D35" s="37"/>
      <c r="E35" s="38"/>
      <c r="F35" s="39"/>
      <c r="G35" s="18"/>
      <c r="H35" s="18"/>
      <c r="I35" s="18"/>
      <c r="J35" s="18"/>
      <c r="K35" s="18"/>
      <c r="L35" s="20">
        <v>-1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x14ac:dyDescent="0.25">
      <c r="A36" s="47"/>
      <c r="B36" s="47"/>
      <c r="C36" s="36" t="s">
        <v>57</v>
      </c>
      <c r="D36" s="37"/>
      <c r="E36" s="38" t="s">
        <v>97</v>
      </c>
      <c r="F36" s="39"/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</row>
    <row r="37" spans="1:24" x14ac:dyDescent="0.25">
      <c r="A37" s="47"/>
      <c r="B37" s="47"/>
      <c r="C37" s="36" t="s">
        <v>58</v>
      </c>
      <c r="D37" s="37"/>
      <c r="E37" s="38" t="s">
        <v>97</v>
      </c>
      <c r="F37" s="39"/>
      <c r="G37" s="18">
        <v>2</v>
      </c>
      <c r="H37" s="18">
        <v>2</v>
      </c>
      <c r="I37" s="18">
        <v>2</v>
      </c>
      <c r="J37" s="18">
        <v>2</v>
      </c>
      <c r="K37" s="18">
        <v>2</v>
      </c>
      <c r="L37" s="19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</row>
    <row r="38" spans="1:24" x14ac:dyDescent="0.25">
      <c r="A38" s="47"/>
      <c r="B38" s="46" t="s">
        <v>16</v>
      </c>
      <c r="C38" s="36" t="s">
        <v>59</v>
      </c>
      <c r="D38" s="37"/>
      <c r="E38" s="38" t="s">
        <v>99</v>
      </c>
      <c r="F38" s="39"/>
      <c r="G38" s="18">
        <v>1</v>
      </c>
      <c r="H38" s="18">
        <v>2</v>
      </c>
      <c r="I38" s="18">
        <v>2</v>
      </c>
      <c r="J38" s="18">
        <v>2</v>
      </c>
      <c r="K38" s="18">
        <v>2</v>
      </c>
      <c r="L38" s="18">
        <v>2</v>
      </c>
      <c r="M38" s="19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</row>
    <row r="39" spans="1:24" x14ac:dyDescent="0.25">
      <c r="A39" s="47"/>
      <c r="B39" s="47"/>
      <c r="C39" s="36"/>
      <c r="D39" s="37"/>
      <c r="E39" s="38"/>
      <c r="F39" s="39"/>
      <c r="G39" s="18"/>
      <c r="H39" s="18"/>
      <c r="I39" s="18"/>
      <c r="J39" s="18"/>
      <c r="K39" s="18"/>
      <c r="L39" s="18"/>
      <c r="M39" s="20">
        <v>-1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x14ac:dyDescent="0.25">
      <c r="A40" s="47"/>
      <c r="B40" s="47"/>
      <c r="C40" s="36" t="s">
        <v>60</v>
      </c>
      <c r="D40" s="37"/>
      <c r="E40" s="38" t="s">
        <v>98</v>
      </c>
      <c r="F40" s="39"/>
      <c r="G40" s="18">
        <v>2</v>
      </c>
      <c r="H40" s="18">
        <v>2</v>
      </c>
      <c r="I40" s="18">
        <v>2</v>
      </c>
      <c r="J40" s="18">
        <v>2</v>
      </c>
      <c r="K40" s="18">
        <v>2</v>
      </c>
      <c r="L40" s="18">
        <v>2</v>
      </c>
      <c r="M40" s="19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</row>
    <row r="41" spans="1:24" x14ac:dyDescent="0.25">
      <c r="A41" s="47"/>
      <c r="B41" s="47"/>
      <c r="C41" s="36" t="s">
        <v>62</v>
      </c>
      <c r="D41" s="37"/>
      <c r="E41" s="38" t="s">
        <v>99</v>
      </c>
      <c r="F41" s="39"/>
      <c r="G41" s="18">
        <v>2</v>
      </c>
      <c r="H41" s="18">
        <v>2</v>
      </c>
      <c r="I41" s="18">
        <v>2</v>
      </c>
      <c r="J41" s="18">
        <v>2</v>
      </c>
      <c r="K41" s="18">
        <v>2</v>
      </c>
      <c r="L41" s="18">
        <v>2</v>
      </c>
      <c r="M41" s="19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</row>
    <row r="42" spans="1:24" x14ac:dyDescent="0.25">
      <c r="A42" s="47"/>
      <c r="B42" s="47"/>
      <c r="C42" s="36" t="s">
        <v>63</v>
      </c>
      <c r="D42" s="37"/>
      <c r="E42" s="38" t="s">
        <v>98</v>
      </c>
      <c r="F42" s="39"/>
      <c r="G42" s="18">
        <v>3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9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</row>
    <row r="43" spans="1:24" x14ac:dyDescent="0.25">
      <c r="A43" s="47"/>
      <c r="B43" s="47"/>
      <c r="C43" s="36"/>
      <c r="D43" s="37"/>
      <c r="E43" s="38"/>
      <c r="F43" s="39"/>
      <c r="G43" s="18"/>
      <c r="H43" s="18"/>
      <c r="I43" s="18"/>
      <c r="J43" s="18"/>
      <c r="K43" s="18"/>
      <c r="L43" s="18"/>
      <c r="M43" s="21">
        <v>1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x14ac:dyDescent="0.25">
      <c r="A44" s="47"/>
      <c r="B44" s="47"/>
      <c r="C44" s="36" t="s">
        <v>64</v>
      </c>
      <c r="D44" s="37"/>
      <c r="E44" s="38" t="s">
        <v>99</v>
      </c>
      <c r="F44" s="39"/>
      <c r="G44" s="18">
        <v>2</v>
      </c>
      <c r="H44" s="18">
        <v>3</v>
      </c>
      <c r="I44" s="18">
        <v>3</v>
      </c>
      <c r="J44" s="18">
        <v>3</v>
      </c>
      <c r="K44" s="18">
        <v>3</v>
      </c>
      <c r="L44" s="18">
        <v>3</v>
      </c>
      <c r="M44" s="18">
        <v>3</v>
      </c>
      <c r="N44" s="19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</row>
    <row r="45" spans="1:24" x14ac:dyDescent="0.25">
      <c r="A45" s="47"/>
      <c r="B45" s="47"/>
      <c r="C45" s="36"/>
      <c r="D45" s="37"/>
      <c r="E45" s="38"/>
      <c r="F45" s="39"/>
      <c r="G45" s="18"/>
      <c r="H45" s="18"/>
      <c r="I45" s="18"/>
      <c r="J45" s="18"/>
      <c r="K45" s="18"/>
      <c r="L45" s="18"/>
      <c r="M45" s="18"/>
      <c r="N45" s="20">
        <v>-1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x14ac:dyDescent="0.25">
      <c r="A46" s="47"/>
      <c r="B46" s="47"/>
      <c r="C46" s="36" t="s">
        <v>65</v>
      </c>
      <c r="D46" s="37"/>
      <c r="E46" s="38" t="s">
        <v>98</v>
      </c>
      <c r="F46" s="39"/>
      <c r="G46" s="18">
        <v>3</v>
      </c>
      <c r="H46" s="18">
        <v>3</v>
      </c>
      <c r="I46" s="18">
        <v>3</v>
      </c>
      <c r="J46" s="18">
        <v>3</v>
      </c>
      <c r="K46" s="18">
        <v>3</v>
      </c>
      <c r="L46" s="18">
        <v>3</v>
      </c>
      <c r="M46" s="18">
        <v>3</v>
      </c>
      <c r="N46" s="19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</row>
    <row r="47" spans="1:24" x14ac:dyDescent="0.25">
      <c r="A47" s="47"/>
      <c r="B47" s="47"/>
      <c r="C47" s="36" t="s">
        <v>66</v>
      </c>
      <c r="D47" s="37"/>
      <c r="E47" s="38" t="s">
        <v>99</v>
      </c>
      <c r="F47" s="39"/>
      <c r="G47" s="18">
        <v>4</v>
      </c>
      <c r="H47" s="18">
        <v>4</v>
      </c>
      <c r="I47" s="18">
        <v>4</v>
      </c>
      <c r="J47" s="18">
        <v>4</v>
      </c>
      <c r="K47" s="18">
        <v>4</v>
      </c>
      <c r="L47" s="18">
        <v>4</v>
      </c>
      <c r="M47" s="18">
        <v>4</v>
      </c>
      <c r="N47" s="18">
        <v>4</v>
      </c>
      <c r="O47" s="19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</row>
    <row r="48" spans="1:24" x14ac:dyDescent="0.25">
      <c r="A48" s="47"/>
      <c r="B48" s="47"/>
      <c r="C48" s="36" t="s">
        <v>67</v>
      </c>
      <c r="D48" s="37"/>
      <c r="E48" s="38" t="s">
        <v>98</v>
      </c>
      <c r="F48" s="39"/>
      <c r="G48" s="18">
        <v>4</v>
      </c>
      <c r="H48" s="18">
        <v>4</v>
      </c>
      <c r="I48" s="18">
        <v>4</v>
      </c>
      <c r="J48" s="18">
        <v>4</v>
      </c>
      <c r="K48" s="18">
        <v>4</v>
      </c>
      <c r="L48" s="18">
        <v>4</v>
      </c>
      <c r="M48" s="18">
        <v>4</v>
      </c>
      <c r="N48" s="18">
        <v>4</v>
      </c>
      <c r="O48" s="19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</row>
    <row r="49" spans="1:24" x14ac:dyDescent="0.25">
      <c r="A49" s="47"/>
      <c r="B49" s="47"/>
      <c r="C49" s="36" t="s">
        <v>68</v>
      </c>
      <c r="D49" s="37"/>
      <c r="E49" s="38" t="s">
        <v>99</v>
      </c>
      <c r="F49" s="39"/>
      <c r="G49" s="18">
        <v>9</v>
      </c>
      <c r="H49" s="18">
        <v>7</v>
      </c>
      <c r="I49" s="18">
        <v>7</v>
      </c>
      <c r="J49" s="18">
        <v>7</v>
      </c>
      <c r="K49" s="18">
        <v>7</v>
      </c>
      <c r="L49" s="18">
        <v>7</v>
      </c>
      <c r="M49" s="18">
        <v>7</v>
      </c>
      <c r="N49" s="18">
        <v>7</v>
      </c>
      <c r="O49" s="18">
        <v>7</v>
      </c>
      <c r="P49" s="1">
        <v>2</v>
      </c>
      <c r="Q49" s="19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</row>
    <row r="50" spans="1:24" x14ac:dyDescent="0.25">
      <c r="A50" s="47"/>
      <c r="B50" s="47"/>
      <c r="C50" s="36"/>
      <c r="D50" s="37"/>
      <c r="E50" s="38"/>
      <c r="F50" s="39"/>
      <c r="G50" s="18"/>
      <c r="H50" s="18"/>
      <c r="I50" s="18"/>
      <c r="J50" s="18"/>
      <c r="K50" s="18"/>
      <c r="L50" s="18"/>
      <c r="M50" s="18"/>
      <c r="N50" s="18"/>
      <c r="O50" s="18"/>
      <c r="Q50" s="21">
        <v>2</v>
      </c>
      <c r="R50" s="18"/>
      <c r="S50" s="18"/>
      <c r="T50" s="18"/>
      <c r="U50" s="18"/>
      <c r="V50" s="18"/>
      <c r="W50" s="18"/>
      <c r="X50" s="18"/>
    </row>
    <row r="51" spans="1:24" x14ac:dyDescent="0.25">
      <c r="A51" s="47"/>
      <c r="B51" s="47"/>
      <c r="C51" s="36" t="s">
        <v>69</v>
      </c>
      <c r="D51" s="37"/>
      <c r="E51" s="38" t="s">
        <v>98</v>
      </c>
      <c r="F51" s="39"/>
      <c r="G51" s="18">
        <v>11</v>
      </c>
      <c r="H51" s="18">
        <v>7</v>
      </c>
      <c r="I51" s="18">
        <v>7</v>
      </c>
      <c r="J51" s="18">
        <v>7</v>
      </c>
      <c r="K51" s="18">
        <v>7</v>
      </c>
      <c r="L51" s="18">
        <v>7</v>
      </c>
      <c r="M51" s="18">
        <v>7</v>
      </c>
      <c r="N51" s="18">
        <v>7</v>
      </c>
      <c r="O51" s="18">
        <v>7</v>
      </c>
      <c r="P51" s="18">
        <v>7</v>
      </c>
      <c r="Q51" s="19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</row>
    <row r="52" spans="1:24" x14ac:dyDescent="0.25">
      <c r="A52" s="47"/>
      <c r="B52" s="47"/>
      <c r="C52" s="36"/>
      <c r="D52" s="37"/>
      <c r="E52" s="38"/>
      <c r="F52" s="39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1">
        <v>4</v>
      </c>
      <c r="R52" s="18"/>
      <c r="S52" s="18"/>
      <c r="T52" s="18"/>
      <c r="U52" s="18"/>
      <c r="V52" s="18"/>
      <c r="W52" s="18"/>
      <c r="X52" s="18"/>
    </row>
    <row r="53" spans="1:24" x14ac:dyDescent="0.25">
      <c r="A53" s="47"/>
      <c r="B53" s="47"/>
      <c r="C53" s="36" t="s">
        <v>70</v>
      </c>
      <c r="D53" s="37"/>
      <c r="E53" s="38" t="s">
        <v>99</v>
      </c>
      <c r="F53" s="39"/>
      <c r="G53" s="18">
        <v>8</v>
      </c>
      <c r="H53" s="18">
        <v>8</v>
      </c>
      <c r="I53" s="18">
        <v>8</v>
      </c>
      <c r="J53" s="18">
        <v>8</v>
      </c>
      <c r="K53" s="18">
        <v>8</v>
      </c>
      <c r="L53" s="18">
        <v>8</v>
      </c>
      <c r="M53" s="18">
        <v>8</v>
      </c>
      <c r="N53" s="18">
        <v>8</v>
      </c>
      <c r="O53" s="18">
        <v>8</v>
      </c>
      <c r="P53" s="18">
        <v>8</v>
      </c>
      <c r="Q53" s="18">
        <v>3</v>
      </c>
      <c r="R53" s="19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</row>
    <row r="54" spans="1:24" x14ac:dyDescent="0.25">
      <c r="A54" s="47"/>
      <c r="B54" s="47"/>
      <c r="C54" s="36" t="s">
        <v>71</v>
      </c>
      <c r="D54" s="37"/>
      <c r="E54" s="38" t="s">
        <v>98</v>
      </c>
      <c r="F54" s="39"/>
      <c r="G54" s="18">
        <v>8</v>
      </c>
      <c r="H54" s="18">
        <v>8</v>
      </c>
      <c r="I54" s="18">
        <v>8</v>
      </c>
      <c r="J54" s="18">
        <v>8</v>
      </c>
      <c r="K54" s="18">
        <v>8</v>
      </c>
      <c r="L54" s="18">
        <v>8</v>
      </c>
      <c r="M54" s="18">
        <v>8</v>
      </c>
      <c r="N54" s="18">
        <v>8</v>
      </c>
      <c r="O54" s="18">
        <v>8</v>
      </c>
      <c r="P54" s="18">
        <v>8</v>
      </c>
      <c r="Q54" s="18">
        <v>6</v>
      </c>
      <c r="R54" s="19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</row>
    <row r="55" spans="1:24" x14ac:dyDescent="0.25">
      <c r="A55" s="47"/>
      <c r="B55" s="47"/>
      <c r="C55" s="36" t="s">
        <v>72</v>
      </c>
      <c r="D55" s="37"/>
      <c r="E55" s="38" t="s">
        <v>99</v>
      </c>
      <c r="F55" s="39"/>
      <c r="G55" s="18">
        <v>8</v>
      </c>
      <c r="H55" s="18">
        <v>10</v>
      </c>
      <c r="I55" s="18">
        <v>10</v>
      </c>
      <c r="J55" s="18">
        <v>10</v>
      </c>
      <c r="K55" s="18">
        <v>10</v>
      </c>
      <c r="L55" s="18">
        <v>10</v>
      </c>
      <c r="M55" s="18">
        <v>10</v>
      </c>
      <c r="N55" s="18">
        <v>10</v>
      </c>
      <c r="O55" s="18">
        <v>10</v>
      </c>
      <c r="P55" s="18">
        <v>10</v>
      </c>
      <c r="Q55" s="18">
        <v>10</v>
      </c>
      <c r="R55" s="18">
        <v>10</v>
      </c>
      <c r="S55" s="18">
        <v>3</v>
      </c>
      <c r="T55" s="19">
        <v>0</v>
      </c>
      <c r="U55" s="18">
        <v>0</v>
      </c>
      <c r="V55" s="18">
        <v>0</v>
      </c>
      <c r="W55" s="18">
        <v>0</v>
      </c>
      <c r="X55" s="18">
        <v>0</v>
      </c>
    </row>
    <row r="56" spans="1:24" x14ac:dyDescent="0.25">
      <c r="A56" s="47"/>
      <c r="B56" s="47"/>
      <c r="C56" s="36"/>
      <c r="D56" s="37"/>
      <c r="E56" s="38"/>
      <c r="F56" s="3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20">
        <v>-2</v>
      </c>
      <c r="U56" s="18"/>
      <c r="V56" s="18"/>
      <c r="W56" s="18"/>
      <c r="X56" s="18"/>
    </row>
    <row r="57" spans="1:24" x14ac:dyDescent="0.25">
      <c r="A57" s="47"/>
      <c r="B57" s="47"/>
      <c r="C57" s="36" t="s">
        <v>73</v>
      </c>
      <c r="D57" s="37"/>
      <c r="E57" s="38" t="s">
        <v>98</v>
      </c>
      <c r="F57" s="39"/>
      <c r="G57" s="18">
        <v>11</v>
      </c>
      <c r="H57" s="18">
        <v>10</v>
      </c>
      <c r="I57" s="18">
        <v>10</v>
      </c>
      <c r="J57" s="18">
        <v>10</v>
      </c>
      <c r="K57" s="18">
        <v>10</v>
      </c>
      <c r="L57" s="18">
        <v>10</v>
      </c>
      <c r="M57" s="18">
        <v>10</v>
      </c>
      <c r="N57" s="18">
        <v>10</v>
      </c>
      <c r="O57" s="18">
        <v>10</v>
      </c>
      <c r="P57" s="18">
        <v>10</v>
      </c>
      <c r="Q57" s="18">
        <v>10</v>
      </c>
      <c r="R57" s="18">
        <v>10</v>
      </c>
      <c r="S57" s="18">
        <v>5</v>
      </c>
      <c r="T57" s="19">
        <v>0</v>
      </c>
      <c r="U57" s="18">
        <v>0</v>
      </c>
      <c r="V57" s="18">
        <v>0</v>
      </c>
      <c r="W57" s="18">
        <v>0</v>
      </c>
      <c r="X57" s="18">
        <v>0</v>
      </c>
    </row>
    <row r="58" spans="1:24" x14ac:dyDescent="0.25">
      <c r="A58" s="47"/>
      <c r="B58" s="47"/>
      <c r="C58" s="36"/>
      <c r="D58" s="37"/>
      <c r="E58" s="38"/>
      <c r="F58" s="3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21">
        <v>1</v>
      </c>
      <c r="U58" s="18"/>
      <c r="V58" s="18"/>
      <c r="W58" s="18"/>
      <c r="X58" s="18"/>
    </row>
    <row r="59" spans="1:24" x14ac:dyDescent="0.25">
      <c r="A59" s="47"/>
      <c r="B59" s="47"/>
      <c r="C59" s="36" t="s">
        <v>61</v>
      </c>
      <c r="D59" s="37"/>
      <c r="E59" s="38" t="s">
        <v>26</v>
      </c>
      <c r="F59" s="39"/>
      <c r="G59" s="18">
        <v>8</v>
      </c>
      <c r="H59" s="18">
        <v>8</v>
      </c>
      <c r="I59" s="18">
        <v>8</v>
      </c>
      <c r="J59" s="18">
        <v>8</v>
      </c>
      <c r="K59" s="18">
        <v>8</v>
      </c>
      <c r="L59" s="18">
        <v>8</v>
      </c>
      <c r="M59" s="18">
        <v>8</v>
      </c>
      <c r="N59" s="18">
        <v>8</v>
      </c>
      <c r="O59" s="18">
        <v>8</v>
      </c>
      <c r="P59" s="18">
        <v>8</v>
      </c>
      <c r="Q59" s="18">
        <v>8</v>
      </c>
      <c r="R59" s="18">
        <v>8</v>
      </c>
      <c r="S59" s="18">
        <v>8</v>
      </c>
      <c r="T59" s="19">
        <v>0</v>
      </c>
      <c r="U59" s="18">
        <v>0</v>
      </c>
      <c r="V59" s="18">
        <v>0</v>
      </c>
      <c r="W59" s="18">
        <v>0</v>
      </c>
      <c r="X59" s="18">
        <v>0</v>
      </c>
    </row>
    <row r="60" spans="1:24" x14ac:dyDescent="0.25">
      <c r="A60" s="47"/>
      <c r="B60" s="46" t="s">
        <v>17</v>
      </c>
      <c r="C60" s="36" t="s">
        <v>74</v>
      </c>
      <c r="D60" s="37"/>
      <c r="E60" s="38" t="s">
        <v>97</v>
      </c>
      <c r="F60" s="39"/>
      <c r="G60" s="18">
        <v>1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1</v>
      </c>
      <c r="S60" s="18">
        <v>1</v>
      </c>
      <c r="T60" s="18">
        <v>1</v>
      </c>
      <c r="U60" s="19">
        <v>0</v>
      </c>
      <c r="V60" s="18">
        <v>0</v>
      </c>
      <c r="W60" s="18">
        <v>0</v>
      </c>
      <c r="X60" s="18">
        <v>0</v>
      </c>
    </row>
    <row r="61" spans="1:24" x14ac:dyDescent="0.25">
      <c r="A61" s="47"/>
      <c r="B61" s="47"/>
      <c r="C61" s="36" t="s">
        <v>75</v>
      </c>
      <c r="D61" s="37"/>
      <c r="E61" s="38" t="s">
        <v>97</v>
      </c>
      <c r="F61" s="39"/>
      <c r="G61" s="18">
        <v>1</v>
      </c>
      <c r="H61" s="18">
        <v>1</v>
      </c>
      <c r="I61" s="18">
        <v>1</v>
      </c>
      <c r="J61" s="18">
        <v>1</v>
      </c>
      <c r="K61" s="18">
        <v>1</v>
      </c>
      <c r="L61" s="18">
        <v>1</v>
      </c>
      <c r="M61" s="18">
        <v>1</v>
      </c>
      <c r="N61" s="18">
        <v>1</v>
      </c>
      <c r="O61" s="18">
        <v>1</v>
      </c>
      <c r="P61" s="18">
        <v>1</v>
      </c>
      <c r="Q61" s="18">
        <v>1</v>
      </c>
      <c r="R61" s="18">
        <v>1</v>
      </c>
      <c r="S61" s="18">
        <v>1</v>
      </c>
      <c r="T61" s="18">
        <v>1</v>
      </c>
      <c r="U61" s="19">
        <v>0</v>
      </c>
      <c r="V61" s="18">
        <v>0</v>
      </c>
      <c r="W61" s="18">
        <v>0</v>
      </c>
      <c r="X61" s="18">
        <v>0</v>
      </c>
    </row>
    <row r="62" spans="1:24" x14ac:dyDescent="0.25">
      <c r="A62" s="47"/>
      <c r="B62" s="47"/>
      <c r="C62" s="36" t="s">
        <v>76</v>
      </c>
      <c r="D62" s="37"/>
      <c r="E62" s="38" t="s">
        <v>97</v>
      </c>
      <c r="F62" s="39"/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9">
        <v>0</v>
      </c>
      <c r="V62" s="18">
        <v>0</v>
      </c>
      <c r="W62" s="18">
        <v>0</v>
      </c>
      <c r="X62" s="18">
        <v>0</v>
      </c>
    </row>
    <row r="63" spans="1:24" x14ac:dyDescent="0.25">
      <c r="A63" s="47"/>
      <c r="B63" s="47"/>
      <c r="C63" s="36" t="s">
        <v>77</v>
      </c>
      <c r="D63" s="37"/>
      <c r="E63" s="38" t="s">
        <v>97</v>
      </c>
      <c r="F63" s="39"/>
      <c r="G63" s="18">
        <v>1</v>
      </c>
      <c r="H63" s="18">
        <v>1</v>
      </c>
      <c r="I63" s="18">
        <v>1</v>
      </c>
      <c r="J63" s="18">
        <v>1</v>
      </c>
      <c r="K63" s="18">
        <v>1</v>
      </c>
      <c r="L63" s="18">
        <v>1</v>
      </c>
      <c r="M63" s="18">
        <v>1</v>
      </c>
      <c r="N63" s="18">
        <v>1</v>
      </c>
      <c r="O63" s="18">
        <v>1</v>
      </c>
      <c r="P63" s="18">
        <v>1</v>
      </c>
      <c r="Q63" s="18">
        <v>1</v>
      </c>
      <c r="R63" s="18">
        <v>1</v>
      </c>
      <c r="S63" s="18">
        <v>1</v>
      </c>
      <c r="T63" s="18">
        <v>1</v>
      </c>
      <c r="U63" s="19">
        <v>0</v>
      </c>
      <c r="V63" s="18">
        <v>0</v>
      </c>
      <c r="W63" s="18">
        <v>0</v>
      </c>
      <c r="X63" s="18">
        <v>0</v>
      </c>
    </row>
    <row r="64" spans="1:24" x14ac:dyDescent="0.25">
      <c r="A64" s="47"/>
      <c r="B64" s="47"/>
      <c r="C64" s="36" t="s">
        <v>78</v>
      </c>
      <c r="D64" s="37"/>
      <c r="E64" s="38" t="s">
        <v>97</v>
      </c>
      <c r="F64" s="39"/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9">
        <v>0</v>
      </c>
      <c r="V64" s="18">
        <v>0</v>
      </c>
      <c r="W64" s="18">
        <v>0</v>
      </c>
      <c r="X64" s="18">
        <v>0</v>
      </c>
    </row>
    <row r="65" spans="1:24" x14ac:dyDescent="0.25">
      <c r="A65" s="47"/>
      <c r="B65" s="47"/>
      <c r="C65" s="36" t="s">
        <v>79</v>
      </c>
      <c r="D65" s="37"/>
      <c r="E65" s="38" t="s">
        <v>97</v>
      </c>
      <c r="F65" s="39"/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9">
        <v>0</v>
      </c>
      <c r="V65" s="18">
        <v>0</v>
      </c>
      <c r="W65" s="18">
        <v>0</v>
      </c>
      <c r="X65" s="18">
        <v>0</v>
      </c>
    </row>
    <row r="66" spans="1:24" x14ac:dyDescent="0.25">
      <c r="A66" s="47"/>
      <c r="B66" s="47"/>
      <c r="C66" s="36" t="s">
        <v>80</v>
      </c>
      <c r="D66" s="37"/>
      <c r="E66" s="38" t="s">
        <v>97</v>
      </c>
      <c r="F66" s="39"/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9">
        <v>0</v>
      </c>
      <c r="V66" s="18">
        <v>0</v>
      </c>
      <c r="W66" s="18">
        <v>0</v>
      </c>
      <c r="X66" s="18">
        <v>0</v>
      </c>
    </row>
    <row r="67" spans="1:24" x14ac:dyDescent="0.25">
      <c r="A67" s="47"/>
      <c r="B67" s="46" t="s">
        <v>18</v>
      </c>
      <c r="C67" s="36" t="s">
        <v>81</v>
      </c>
      <c r="D67" s="37"/>
      <c r="E67" s="38" t="s">
        <v>97</v>
      </c>
      <c r="F67" s="39"/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9">
        <v>0</v>
      </c>
      <c r="W67" s="18">
        <v>0</v>
      </c>
      <c r="X67" s="18">
        <v>0</v>
      </c>
    </row>
    <row r="68" spans="1:24" x14ac:dyDescent="0.25">
      <c r="A68" s="47"/>
      <c r="B68" s="47"/>
      <c r="C68" s="36" t="s">
        <v>82</v>
      </c>
      <c r="D68" s="37"/>
      <c r="E68" s="38" t="s">
        <v>99</v>
      </c>
      <c r="F68" s="39"/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9">
        <v>0</v>
      </c>
      <c r="W68" s="18">
        <v>0</v>
      </c>
      <c r="X68" s="18">
        <v>0</v>
      </c>
    </row>
    <row r="69" spans="1:24" x14ac:dyDescent="0.25">
      <c r="A69" s="47"/>
      <c r="B69" s="47"/>
      <c r="C69" s="36" t="s">
        <v>83</v>
      </c>
      <c r="D69" s="37"/>
      <c r="E69" s="38" t="s">
        <v>98</v>
      </c>
      <c r="F69" s="39"/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9">
        <v>0</v>
      </c>
      <c r="W69" s="18">
        <v>0</v>
      </c>
      <c r="X69" s="18">
        <v>0</v>
      </c>
    </row>
    <row r="70" spans="1:24" x14ac:dyDescent="0.25">
      <c r="A70" s="47"/>
      <c r="B70" s="47"/>
      <c r="C70" s="36" t="s">
        <v>84</v>
      </c>
      <c r="D70" s="37"/>
      <c r="E70" s="38" t="s">
        <v>100</v>
      </c>
      <c r="F70" s="39"/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9">
        <v>0</v>
      </c>
      <c r="W70" s="18">
        <v>0</v>
      </c>
      <c r="X70" s="18">
        <v>0</v>
      </c>
    </row>
    <row r="71" spans="1:24" x14ac:dyDescent="0.25">
      <c r="A71" s="47"/>
      <c r="B71" s="47"/>
      <c r="C71" s="36" t="s">
        <v>85</v>
      </c>
      <c r="D71" s="37"/>
      <c r="E71" s="38" t="s">
        <v>101</v>
      </c>
      <c r="F71" s="39"/>
      <c r="G71" s="18">
        <v>1</v>
      </c>
      <c r="H71" s="18">
        <v>1</v>
      </c>
      <c r="I71" s="18">
        <v>1</v>
      </c>
      <c r="J71" s="18">
        <v>1</v>
      </c>
      <c r="K71" s="18">
        <v>1</v>
      </c>
      <c r="L71" s="18">
        <v>1</v>
      </c>
      <c r="M71" s="18">
        <v>1</v>
      </c>
      <c r="N71" s="18">
        <v>1</v>
      </c>
      <c r="O71" s="18">
        <v>1</v>
      </c>
      <c r="P71" s="18">
        <v>1</v>
      </c>
      <c r="Q71" s="18">
        <v>1</v>
      </c>
      <c r="R71" s="18">
        <v>1</v>
      </c>
      <c r="S71" s="18">
        <v>1</v>
      </c>
      <c r="T71" s="18">
        <v>1</v>
      </c>
      <c r="U71" s="18">
        <v>1</v>
      </c>
      <c r="V71" s="19">
        <v>0</v>
      </c>
      <c r="W71" s="18">
        <v>0</v>
      </c>
      <c r="X71" s="18">
        <v>0</v>
      </c>
    </row>
    <row r="72" spans="1:24" x14ac:dyDescent="0.25">
      <c r="A72" s="47"/>
      <c r="B72" s="47"/>
      <c r="C72" s="36" t="s">
        <v>86</v>
      </c>
      <c r="D72" s="37"/>
      <c r="E72" s="38" t="s">
        <v>97</v>
      </c>
      <c r="F72" s="39"/>
      <c r="G72" s="18">
        <v>2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9">
        <v>0</v>
      </c>
      <c r="W72" s="18">
        <v>0</v>
      </c>
      <c r="X72" s="18">
        <v>0</v>
      </c>
    </row>
    <row r="73" spans="1:24" x14ac:dyDescent="0.25">
      <c r="A73" s="47"/>
      <c r="B73" s="47"/>
      <c r="C73" s="36"/>
      <c r="D73" s="37"/>
      <c r="E73" s="38"/>
      <c r="F73" s="3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21">
        <v>1</v>
      </c>
      <c r="W73" s="18"/>
      <c r="X73" s="18"/>
    </row>
    <row r="74" spans="1:24" x14ac:dyDescent="0.25">
      <c r="A74" s="47"/>
      <c r="B74" s="47"/>
      <c r="C74" s="36" t="s">
        <v>87</v>
      </c>
      <c r="D74" s="37"/>
      <c r="E74" s="38" t="s">
        <v>97</v>
      </c>
      <c r="F74" s="39"/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9">
        <v>0</v>
      </c>
      <c r="W74" s="18">
        <v>0</v>
      </c>
      <c r="X74" s="18">
        <v>0</v>
      </c>
    </row>
    <row r="75" spans="1:24" x14ac:dyDescent="0.25">
      <c r="A75" s="47"/>
      <c r="B75" s="46" t="s">
        <v>25</v>
      </c>
      <c r="C75" s="36" t="s">
        <v>88</v>
      </c>
      <c r="D75" s="37"/>
      <c r="E75" s="38" t="s">
        <v>97</v>
      </c>
      <c r="F75" s="39"/>
      <c r="G75" s="18">
        <v>1</v>
      </c>
      <c r="H75" s="18">
        <v>1</v>
      </c>
      <c r="I75" s="18">
        <v>1</v>
      </c>
      <c r="J75" s="18">
        <v>1</v>
      </c>
      <c r="K75" s="18">
        <v>1</v>
      </c>
      <c r="L75" s="18">
        <v>1</v>
      </c>
      <c r="M75" s="18">
        <v>1</v>
      </c>
      <c r="N75" s="18">
        <v>1</v>
      </c>
      <c r="O75" s="18">
        <v>1</v>
      </c>
      <c r="P75" s="18">
        <v>1</v>
      </c>
      <c r="Q75" s="18">
        <v>1</v>
      </c>
      <c r="R75" s="18">
        <v>1</v>
      </c>
      <c r="S75" s="18">
        <v>1</v>
      </c>
      <c r="T75" s="18">
        <v>1</v>
      </c>
      <c r="U75" s="18">
        <v>1</v>
      </c>
      <c r="V75" s="18">
        <v>1</v>
      </c>
      <c r="W75" s="19">
        <v>0</v>
      </c>
      <c r="X75" s="18">
        <v>0</v>
      </c>
    </row>
    <row r="76" spans="1:24" x14ac:dyDescent="0.25">
      <c r="A76" s="47"/>
      <c r="B76" s="47"/>
      <c r="C76" s="36" t="s">
        <v>89</v>
      </c>
      <c r="D76" s="37"/>
      <c r="E76" s="38" t="s">
        <v>97</v>
      </c>
      <c r="F76" s="39"/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9">
        <v>0</v>
      </c>
      <c r="X76" s="18">
        <v>0</v>
      </c>
    </row>
    <row r="77" spans="1:24" x14ac:dyDescent="0.25">
      <c r="A77" s="47"/>
      <c r="B77" s="47"/>
      <c r="C77" s="36" t="s">
        <v>90</v>
      </c>
      <c r="D77" s="37"/>
      <c r="E77" s="38" t="s">
        <v>97</v>
      </c>
      <c r="F77" s="39"/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  <c r="M77" s="18">
        <v>1</v>
      </c>
      <c r="N77" s="18">
        <v>1</v>
      </c>
      <c r="O77" s="18">
        <v>1</v>
      </c>
      <c r="P77" s="18">
        <v>1</v>
      </c>
      <c r="Q77" s="18">
        <v>1</v>
      </c>
      <c r="R77" s="18">
        <v>1</v>
      </c>
      <c r="S77" s="18">
        <v>1</v>
      </c>
      <c r="T77" s="18">
        <v>1</v>
      </c>
      <c r="U77" s="18">
        <v>1</v>
      </c>
      <c r="V77" s="18">
        <v>1</v>
      </c>
      <c r="W77" s="19">
        <v>0</v>
      </c>
      <c r="X77" s="18">
        <v>0</v>
      </c>
    </row>
    <row r="78" spans="1:24" x14ac:dyDescent="0.25">
      <c r="A78" s="47"/>
      <c r="B78" s="47"/>
      <c r="C78" s="36" t="s">
        <v>91</v>
      </c>
      <c r="D78" s="37"/>
      <c r="E78" s="38" t="s">
        <v>97</v>
      </c>
      <c r="F78" s="39"/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9">
        <v>0</v>
      </c>
      <c r="X78" s="18">
        <v>0</v>
      </c>
    </row>
    <row r="79" spans="1:24" x14ac:dyDescent="0.25">
      <c r="A79" s="47"/>
      <c r="B79" s="47"/>
      <c r="C79" s="36" t="s">
        <v>92</v>
      </c>
      <c r="D79" s="37"/>
      <c r="E79" s="38" t="s">
        <v>97</v>
      </c>
      <c r="F79" s="39"/>
      <c r="G79" s="18">
        <v>1</v>
      </c>
      <c r="H79" s="18">
        <v>1</v>
      </c>
      <c r="I79" s="18">
        <v>1</v>
      </c>
      <c r="J79" s="18">
        <v>1</v>
      </c>
      <c r="K79" s="18">
        <v>1</v>
      </c>
      <c r="L79" s="18">
        <v>1</v>
      </c>
      <c r="M79" s="18">
        <v>1</v>
      </c>
      <c r="N79" s="18">
        <v>1</v>
      </c>
      <c r="O79" s="18">
        <v>1</v>
      </c>
      <c r="P79" s="18">
        <v>1</v>
      </c>
      <c r="Q79" s="18">
        <v>1</v>
      </c>
      <c r="R79" s="18">
        <v>1</v>
      </c>
      <c r="S79" s="18">
        <v>1</v>
      </c>
      <c r="T79" s="18">
        <v>1</v>
      </c>
      <c r="U79" s="18">
        <v>1</v>
      </c>
      <c r="V79" s="18">
        <v>1</v>
      </c>
      <c r="W79" s="19">
        <v>0</v>
      </c>
      <c r="X79" s="18">
        <v>0</v>
      </c>
    </row>
    <row r="80" spans="1:24" x14ac:dyDescent="0.25">
      <c r="A80" s="47"/>
      <c r="B80" s="47"/>
      <c r="C80" s="36" t="s">
        <v>93</v>
      </c>
      <c r="D80" s="37"/>
      <c r="E80" s="38" t="s">
        <v>97</v>
      </c>
      <c r="F80" s="39"/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9">
        <v>0</v>
      </c>
      <c r="X80" s="18">
        <v>0</v>
      </c>
    </row>
    <row r="81" spans="1:24" x14ac:dyDescent="0.25">
      <c r="A81" s="47"/>
      <c r="B81" s="47"/>
      <c r="C81" s="36" t="s">
        <v>94</v>
      </c>
      <c r="D81" s="37"/>
      <c r="E81" s="38" t="s">
        <v>97</v>
      </c>
      <c r="F81" s="39"/>
      <c r="G81" s="18">
        <v>1</v>
      </c>
      <c r="H81" s="18">
        <v>1</v>
      </c>
      <c r="I81" s="18">
        <v>1</v>
      </c>
      <c r="J81" s="18">
        <v>1</v>
      </c>
      <c r="K81" s="18">
        <v>1</v>
      </c>
      <c r="L81" s="18">
        <v>1</v>
      </c>
      <c r="M81" s="18">
        <v>1</v>
      </c>
      <c r="N81" s="18">
        <v>1</v>
      </c>
      <c r="O81" s="18">
        <v>1</v>
      </c>
      <c r="P81" s="18">
        <v>1</v>
      </c>
      <c r="Q81" s="18">
        <v>1</v>
      </c>
      <c r="R81" s="18">
        <v>1</v>
      </c>
      <c r="S81" s="18">
        <v>1</v>
      </c>
      <c r="T81" s="18">
        <v>1</v>
      </c>
      <c r="U81" s="18">
        <v>1</v>
      </c>
      <c r="V81" s="18">
        <v>1</v>
      </c>
      <c r="W81" s="19">
        <v>0</v>
      </c>
      <c r="X81" s="18">
        <v>0</v>
      </c>
    </row>
    <row r="82" spans="1:24" x14ac:dyDescent="0.25">
      <c r="A82" s="47"/>
      <c r="B82" s="46" t="s">
        <v>19</v>
      </c>
      <c r="C82" s="36" t="s">
        <v>95</v>
      </c>
      <c r="D82" s="37"/>
      <c r="E82" s="49" t="s">
        <v>26</v>
      </c>
      <c r="F82" s="50"/>
      <c r="G82" s="18">
        <v>1</v>
      </c>
      <c r="H82" s="18">
        <v>2</v>
      </c>
      <c r="I82" s="18">
        <v>2</v>
      </c>
      <c r="J82" s="18">
        <v>2</v>
      </c>
      <c r="K82" s="18">
        <v>2</v>
      </c>
      <c r="L82" s="18">
        <v>2</v>
      </c>
      <c r="M82" s="18">
        <v>2</v>
      </c>
      <c r="N82" s="18">
        <v>2</v>
      </c>
      <c r="O82" s="18">
        <v>2</v>
      </c>
      <c r="P82" s="18">
        <v>2</v>
      </c>
      <c r="Q82" s="18">
        <v>2</v>
      </c>
      <c r="R82" s="18">
        <v>2</v>
      </c>
      <c r="S82" s="18">
        <v>2</v>
      </c>
      <c r="T82" s="18">
        <v>2</v>
      </c>
      <c r="U82" s="18">
        <v>2</v>
      </c>
      <c r="V82" s="18">
        <v>2</v>
      </c>
      <c r="W82" s="18">
        <v>2</v>
      </c>
      <c r="X82" s="19">
        <v>0</v>
      </c>
    </row>
    <row r="83" spans="1:24" x14ac:dyDescent="0.25">
      <c r="A83" s="47"/>
      <c r="B83" s="47"/>
      <c r="C83" s="36"/>
      <c r="D83" s="37"/>
      <c r="E83" s="49"/>
      <c r="F83" s="50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0">
        <v>-1</v>
      </c>
    </row>
    <row r="84" spans="1:24" x14ac:dyDescent="0.25">
      <c r="A84" s="47"/>
      <c r="B84" s="47"/>
      <c r="C84" s="36" t="s">
        <v>96</v>
      </c>
      <c r="D84" s="37"/>
      <c r="E84" s="49" t="s">
        <v>26</v>
      </c>
      <c r="F84" s="50"/>
      <c r="G84" s="18">
        <v>1</v>
      </c>
      <c r="H84" s="18">
        <v>2</v>
      </c>
      <c r="I84" s="18">
        <v>2</v>
      </c>
      <c r="J84" s="18">
        <v>2</v>
      </c>
      <c r="K84" s="18">
        <v>2</v>
      </c>
      <c r="L84" s="18">
        <v>2</v>
      </c>
      <c r="M84" s="18">
        <v>2</v>
      </c>
      <c r="N84" s="18">
        <v>2</v>
      </c>
      <c r="O84" s="18">
        <v>2</v>
      </c>
      <c r="P84" s="18">
        <v>2</v>
      </c>
      <c r="Q84" s="18">
        <v>2</v>
      </c>
      <c r="R84" s="18">
        <v>2</v>
      </c>
      <c r="S84" s="18">
        <v>2</v>
      </c>
      <c r="T84" s="18">
        <v>2</v>
      </c>
      <c r="U84" s="18">
        <v>2</v>
      </c>
      <c r="V84" s="18">
        <v>2</v>
      </c>
      <c r="W84" s="18">
        <v>2</v>
      </c>
      <c r="X84" s="19">
        <v>0</v>
      </c>
    </row>
    <row r="85" spans="1:24" x14ac:dyDescent="0.25">
      <c r="A85" s="47"/>
      <c r="B85" s="48"/>
      <c r="C85" s="36"/>
      <c r="D85" s="37"/>
      <c r="E85" s="49"/>
      <c r="F85" s="5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0">
        <v>-1</v>
      </c>
    </row>
    <row r="86" spans="1:24" x14ac:dyDescent="0.25">
      <c r="A86" s="47"/>
      <c r="B86" s="40" t="s">
        <v>12</v>
      </c>
      <c r="C86" s="41"/>
      <c r="D86" s="42"/>
      <c r="E86" s="51" t="s">
        <v>11</v>
      </c>
      <c r="F86" s="52"/>
      <c r="G86" s="51">
        <f>SUM(G16:G85)</f>
        <v>148</v>
      </c>
      <c r="H86" s="52"/>
      <c r="I86" s="18">
        <f t="shared" ref="I86:X86" si="0">SUM(I16:I85)</f>
        <v>143</v>
      </c>
      <c r="J86" s="18">
        <f t="shared" si="0"/>
        <v>135</v>
      </c>
      <c r="K86" s="18">
        <f t="shared" si="0"/>
        <v>125</v>
      </c>
      <c r="L86" s="18">
        <f t="shared" si="0"/>
        <v>116</v>
      </c>
      <c r="M86" s="18">
        <f t="shared" si="0"/>
        <v>109</v>
      </c>
      <c r="N86" s="18">
        <f t="shared" si="0"/>
        <v>102</v>
      </c>
      <c r="O86" s="18">
        <f t="shared" si="0"/>
        <v>95</v>
      </c>
      <c r="P86" s="18">
        <f t="shared" si="0"/>
        <v>90</v>
      </c>
      <c r="Q86" s="18">
        <f t="shared" si="0"/>
        <v>80</v>
      </c>
      <c r="R86" s="18">
        <f t="shared" si="0"/>
        <v>65</v>
      </c>
      <c r="S86" s="18">
        <f t="shared" si="0"/>
        <v>51</v>
      </c>
      <c r="T86" s="18">
        <f t="shared" si="0"/>
        <v>32</v>
      </c>
      <c r="U86" s="18">
        <f t="shared" si="0"/>
        <v>24</v>
      </c>
      <c r="V86" s="18">
        <f t="shared" si="0"/>
        <v>16</v>
      </c>
      <c r="W86" s="18">
        <f t="shared" si="0"/>
        <v>6</v>
      </c>
      <c r="X86" s="18">
        <f t="shared" si="0"/>
        <v>-2</v>
      </c>
    </row>
    <row r="87" spans="1:24" x14ac:dyDescent="0.25">
      <c r="A87" s="48"/>
      <c r="B87" s="43"/>
      <c r="C87" s="44"/>
      <c r="D87" s="45"/>
      <c r="E87" s="51" t="s">
        <v>27</v>
      </c>
      <c r="F87" s="52"/>
      <c r="G87" s="51">
        <f>SUM(H16:H85)</f>
        <v>147</v>
      </c>
      <c r="H87" s="52"/>
      <c r="I87" s="18">
        <f>SUM(I16:I85)</f>
        <v>143</v>
      </c>
      <c r="J87" s="18">
        <f>SUM(J16:J85)</f>
        <v>135</v>
      </c>
      <c r="K87" s="18">
        <f>SUM(K16:K85)+1</f>
        <v>126</v>
      </c>
      <c r="L87" s="18">
        <f>SUM(L16:L85)+1</f>
        <v>117</v>
      </c>
      <c r="M87" s="18">
        <f>SUM(M16:M85)</f>
        <v>109</v>
      </c>
      <c r="N87" s="18">
        <f>SUM(N16:N85)-1</f>
        <v>101</v>
      </c>
      <c r="O87" s="18">
        <f>SUM(O16:O85)</f>
        <v>95</v>
      </c>
      <c r="P87" s="18">
        <f>SUM(P16:P85)</f>
        <v>90</v>
      </c>
      <c r="Q87" s="18">
        <f>SUM(Q16:Q85)-6</f>
        <v>74</v>
      </c>
      <c r="R87" s="18">
        <f>SUM(R16:R85)</f>
        <v>65</v>
      </c>
      <c r="S87" s="18">
        <f>SUM(S16:S85)</f>
        <v>51</v>
      </c>
      <c r="T87" s="18">
        <f>SUM(T16:T85)+1</f>
        <v>33</v>
      </c>
      <c r="U87" s="18">
        <f>SUM(U16:U85)</f>
        <v>24</v>
      </c>
      <c r="V87" s="18">
        <f>SUM(V16:V85)-1</f>
        <v>15</v>
      </c>
      <c r="W87" s="18">
        <f>SUM(W16:W85)</f>
        <v>6</v>
      </c>
      <c r="X87" s="18">
        <f>SUM(X16:X85)+2</f>
        <v>0</v>
      </c>
    </row>
  </sheetData>
  <mergeCells count="161">
    <mergeCell ref="B16:D16"/>
    <mergeCell ref="E61:F61"/>
    <mergeCell ref="E32:F32"/>
    <mergeCell ref="E15:F15"/>
    <mergeCell ref="C15:D15"/>
    <mergeCell ref="B18:D18"/>
    <mergeCell ref="E18:F18"/>
    <mergeCell ref="B19:D19"/>
    <mergeCell ref="E19:F19"/>
    <mergeCell ref="E47:F47"/>
    <mergeCell ref="E53:F53"/>
    <mergeCell ref="E54:F54"/>
    <mergeCell ref="E55:F55"/>
    <mergeCell ref="E57:F57"/>
    <mergeCell ref="E44:F44"/>
    <mergeCell ref="E16:F16"/>
    <mergeCell ref="E17:F17"/>
    <mergeCell ref="E20:F20"/>
    <mergeCell ref="E21:F21"/>
    <mergeCell ref="E22:F22"/>
    <mergeCell ref="E23:F23"/>
    <mergeCell ref="E81:F81"/>
    <mergeCell ref="E75:F75"/>
    <mergeCell ref="E67:F67"/>
    <mergeCell ref="E62:F62"/>
    <mergeCell ref="E63:F63"/>
    <mergeCell ref="E64:F64"/>
    <mergeCell ref="C66:D66"/>
    <mergeCell ref="E66:F66"/>
    <mergeCell ref="E65:F65"/>
    <mergeCell ref="C71:D71"/>
    <mergeCell ref="C49:D49"/>
    <mergeCell ref="C51:D51"/>
    <mergeCell ref="E49:F49"/>
    <mergeCell ref="G87:H87"/>
    <mergeCell ref="B38:B59"/>
    <mergeCell ref="C82:D82"/>
    <mergeCell ref="C79:D79"/>
    <mergeCell ref="C78:D78"/>
    <mergeCell ref="C77:D77"/>
    <mergeCell ref="C76:D76"/>
    <mergeCell ref="C75:D75"/>
    <mergeCell ref="C46:D46"/>
    <mergeCell ref="C48:D48"/>
    <mergeCell ref="C47:D47"/>
    <mergeCell ref="C41:D41"/>
    <mergeCell ref="C42:D42"/>
    <mergeCell ref="C61:D61"/>
    <mergeCell ref="C53:D53"/>
    <mergeCell ref="C63:D63"/>
    <mergeCell ref="E46:F46"/>
    <mergeCell ref="E48:F48"/>
    <mergeCell ref="G86:H86"/>
    <mergeCell ref="C44:D44"/>
    <mergeCell ref="C54:D54"/>
    <mergeCell ref="A1:B1"/>
    <mergeCell ref="A2:B2"/>
    <mergeCell ref="A3:B3"/>
    <mergeCell ref="A4:B4"/>
    <mergeCell ref="B6:E6"/>
    <mergeCell ref="B13:C13"/>
    <mergeCell ref="B21:B29"/>
    <mergeCell ref="E31:F31"/>
    <mergeCell ref="E33:F33"/>
    <mergeCell ref="C31:D31"/>
    <mergeCell ref="C32:D32"/>
    <mergeCell ref="C33:D33"/>
    <mergeCell ref="C27:D27"/>
    <mergeCell ref="B30:B37"/>
    <mergeCell ref="C30:D30"/>
    <mergeCell ref="C29:D29"/>
    <mergeCell ref="C26:D26"/>
    <mergeCell ref="C25:D25"/>
    <mergeCell ref="C24:D24"/>
    <mergeCell ref="C23:D23"/>
    <mergeCell ref="C22:D22"/>
    <mergeCell ref="C21:D21"/>
    <mergeCell ref="B20:D20"/>
    <mergeCell ref="B17:D17"/>
    <mergeCell ref="E24:F24"/>
    <mergeCell ref="E25:F25"/>
    <mergeCell ref="E29:F29"/>
    <mergeCell ref="E27:F27"/>
    <mergeCell ref="E37:F37"/>
    <mergeCell ref="E26:F26"/>
    <mergeCell ref="E30:F30"/>
    <mergeCell ref="A16:A87"/>
    <mergeCell ref="E82:F82"/>
    <mergeCell ref="E85:F85"/>
    <mergeCell ref="E86:F86"/>
    <mergeCell ref="E87:F87"/>
    <mergeCell ref="E76:F76"/>
    <mergeCell ref="E77:F77"/>
    <mergeCell ref="E78:F78"/>
    <mergeCell ref="E79:F79"/>
    <mergeCell ref="E68:F68"/>
    <mergeCell ref="E69:F69"/>
    <mergeCell ref="E70:F70"/>
    <mergeCell ref="E38:F38"/>
    <mergeCell ref="E40:F40"/>
    <mergeCell ref="E41:F41"/>
    <mergeCell ref="E42:F42"/>
    <mergeCell ref="E60:F60"/>
    <mergeCell ref="B86:D87"/>
    <mergeCell ref="E74:F74"/>
    <mergeCell ref="B75:B81"/>
    <mergeCell ref="B82:B85"/>
    <mergeCell ref="C62:D62"/>
    <mergeCell ref="C74:D74"/>
    <mergeCell ref="C70:D70"/>
    <mergeCell ref="C69:D69"/>
    <mergeCell ref="C64:D64"/>
    <mergeCell ref="C67:D67"/>
    <mergeCell ref="C68:D68"/>
    <mergeCell ref="C85:D85"/>
    <mergeCell ref="C80:D80"/>
    <mergeCell ref="C81:D81"/>
    <mergeCell ref="B60:B66"/>
    <mergeCell ref="C65:D65"/>
    <mergeCell ref="B67:B74"/>
    <mergeCell ref="C84:D84"/>
    <mergeCell ref="E84:F84"/>
    <mergeCell ref="C83:D83"/>
    <mergeCell ref="E83:F83"/>
    <mergeCell ref="E80:F80"/>
    <mergeCell ref="C72:D72"/>
    <mergeCell ref="E71:F71"/>
    <mergeCell ref="C28:D28"/>
    <mergeCell ref="E28:F28"/>
    <mergeCell ref="C34:D34"/>
    <mergeCell ref="E34:F34"/>
    <mergeCell ref="C39:D39"/>
    <mergeCell ref="E39:F39"/>
    <mergeCell ref="C43:D43"/>
    <mergeCell ref="E43:F43"/>
    <mergeCell ref="C45:D45"/>
    <mergeCell ref="E45:F45"/>
    <mergeCell ref="E35:F35"/>
    <mergeCell ref="E36:F36"/>
    <mergeCell ref="C40:D40"/>
    <mergeCell ref="C38:D38"/>
    <mergeCell ref="C35:D35"/>
    <mergeCell ref="C36:D36"/>
    <mergeCell ref="C37:D37"/>
    <mergeCell ref="C50:D50"/>
    <mergeCell ref="E50:F50"/>
    <mergeCell ref="C52:D52"/>
    <mergeCell ref="E52:F52"/>
    <mergeCell ref="C56:D56"/>
    <mergeCell ref="E56:F56"/>
    <mergeCell ref="C58:D58"/>
    <mergeCell ref="E58:F58"/>
    <mergeCell ref="C73:D73"/>
    <mergeCell ref="E73:F73"/>
    <mergeCell ref="E51:F51"/>
    <mergeCell ref="C57:D57"/>
    <mergeCell ref="E72:F72"/>
    <mergeCell ref="C55:D55"/>
    <mergeCell ref="C59:D59"/>
    <mergeCell ref="C60:D60"/>
    <mergeCell ref="E59:F59"/>
  </mergeCells>
  <phoneticPr fontId="4" type="noConversion"/>
  <pageMargins left="1.2" right="0.2" top="0.25" bottom="0.25" header="0.3" footer="0.3"/>
  <pageSetup paperSize="8" scale="8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7"/>
  <sheetViews>
    <sheetView view="pageBreakPreview" topLeftCell="A68" zoomScale="60" zoomScaleNormal="70" workbookViewId="0">
      <selection activeCell="S104" sqref="S104"/>
    </sheetView>
  </sheetViews>
  <sheetFormatPr defaultRowHeight="15" x14ac:dyDescent="0.25"/>
  <cols>
    <col min="1" max="1" width="13.5703125" customWidth="1"/>
    <col min="2" max="2" width="21.140625" customWidth="1"/>
    <col min="3" max="3" width="55.85546875" customWidth="1"/>
    <col min="4" max="4" width="12" customWidth="1"/>
    <col min="5" max="5" width="10.28515625" customWidth="1"/>
    <col min="6" max="6" width="20.140625" customWidth="1"/>
    <col min="7" max="8" width="6.140625" customWidth="1"/>
    <col min="9" max="19" width="6" customWidth="1"/>
    <col min="20" max="20" width="6.140625" customWidth="1"/>
    <col min="21" max="24" width="6" customWidth="1"/>
  </cols>
  <sheetData>
    <row r="1" spans="1:53" ht="33.75" thickBot="1" x14ac:dyDescent="0.3">
      <c r="A1" s="53" t="s">
        <v>3</v>
      </c>
      <c r="B1" s="53"/>
      <c r="C1" s="35" t="s">
        <v>35</v>
      </c>
      <c r="D1" s="1"/>
      <c r="E1" s="9"/>
      <c r="F1" s="10" t="s">
        <v>33</v>
      </c>
    </row>
    <row r="2" spans="1:53" ht="17.25" thickBot="1" x14ac:dyDescent="0.3">
      <c r="A2" s="53" t="s">
        <v>1</v>
      </c>
      <c r="B2" s="53"/>
      <c r="C2" s="4">
        <v>46119</v>
      </c>
      <c r="D2" s="1"/>
      <c r="E2" s="12"/>
      <c r="F2" s="11" t="s">
        <v>32</v>
      </c>
    </row>
    <row r="3" spans="1:53" ht="18" customHeight="1" thickBot="1" x14ac:dyDescent="0.3">
      <c r="A3" s="53" t="s">
        <v>0</v>
      </c>
      <c r="B3" s="53"/>
      <c r="C3" s="4">
        <v>46134</v>
      </c>
      <c r="D3" s="1"/>
      <c r="E3" s="13"/>
      <c r="F3" s="14" t="s">
        <v>31</v>
      </c>
    </row>
    <row r="4" spans="1:53" ht="17.25" thickBot="1" x14ac:dyDescent="0.3">
      <c r="A4" s="1"/>
      <c r="B4" s="61" t="s">
        <v>23</v>
      </c>
      <c r="C4" s="61"/>
      <c r="D4" s="61"/>
      <c r="E4" s="62"/>
    </row>
    <row r="5" spans="1:53" ht="17.25" thickBot="1" x14ac:dyDescent="0.3">
      <c r="A5" s="1"/>
      <c r="B5" s="6" t="s">
        <v>6</v>
      </c>
      <c r="C5" s="6" t="s">
        <v>28</v>
      </c>
      <c r="D5" s="6" t="s">
        <v>11</v>
      </c>
      <c r="E5" s="6" t="s">
        <v>27</v>
      </c>
    </row>
    <row r="6" spans="1:53" ht="17.25" thickBot="1" x14ac:dyDescent="0.3">
      <c r="A6" s="1"/>
      <c r="B6" s="8">
        <v>1</v>
      </c>
      <c r="C6" s="3" t="s">
        <v>36</v>
      </c>
      <c r="D6" s="3">
        <v>56</v>
      </c>
      <c r="E6" s="3">
        <v>51</v>
      </c>
    </row>
    <row r="7" spans="1:53" ht="17.25" thickBot="1" x14ac:dyDescent="0.3">
      <c r="A7" s="1"/>
      <c r="B7" s="8">
        <v>2</v>
      </c>
      <c r="C7" s="3" t="s">
        <v>37</v>
      </c>
      <c r="D7" s="3">
        <v>43</v>
      </c>
      <c r="E7" s="3">
        <v>49</v>
      </c>
    </row>
    <row r="8" spans="1:53" ht="17.25" thickBot="1" x14ac:dyDescent="0.3">
      <c r="A8" s="1"/>
      <c r="B8" s="8">
        <v>3</v>
      </c>
      <c r="C8" s="3" t="s">
        <v>38</v>
      </c>
      <c r="D8" s="3">
        <v>14</v>
      </c>
      <c r="E8" s="3">
        <v>16</v>
      </c>
    </row>
    <row r="9" spans="1:53" ht="17.25" thickBot="1" x14ac:dyDescent="0.3">
      <c r="A9" s="1"/>
      <c r="B9" s="8">
        <v>4</v>
      </c>
      <c r="C9" s="3" t="s">
        <v>39</v>
      </c>
      <c r="D9" s="3">
        <v>50</v>
      </c>
      <c r="E9" s="3">
        <v>46</v>
      </c>
    </row>
    <row r="10" spans="1:53" ht="17.25" thickBot="1" x14ac:dyDescent="0.3">
      <c r="A10" s="1"/>
      <c r="B10" s="8">
        <v>5</v>
      </c>
      <c r="C10" s="3" t="s">
        <v>40</v>
      </c>
      <c r="D10" s="3">
        <v>9</v>
      </c>
      <c r="E10" s="3">
        <v>7</v>
      </c>
    </row>
    <row r="11" spans="1:53" ht="17.25" thickBot="1" x14ac:dyDescent="0.3">
      <c r="A11" s="1"/>
      <c r="B11" s="54" t="s">
        <v>12</v>
      </c>
      <c r="C11" s="54"/>
      <c r="D11" s="5">
        <f>SUM(D6:D10)</f>
        <v>172</v>
      </c>
      <c r="E11" s="5">
        <f>SUM(E6:E10)</f>
        <v>169</v>
      </c>
    </row>
    <row r="13" spans="1:53" ht="63.75" customHeight="1" x14ac:dyDescent="0.25">
      <c r="A13" s="22" t="s">
        <v>7</v>
      </c>
      <c r="B13" s="22" t="s">
        <v>8</v>
      </c>
      <c r="C13" s="66" t="s">
        <v>9</v>
      </c>
      <c r="D13" s="66"/>
      <c r="E13" s="66" t="s">
        <v>10</v>
      </c>
      <c r="F13" s="66"/>
      <c r="G13" s="16" t="s">
        <v>11</v>
      </c>
      <c r="H13" s="16" t="s">
        <v>27</v>
      </c>
      <c r="I13" s="17">
        <v>46119</v>
      </c>
      <c r="J13" s="17">
        <v>46120</v>
      </c>
      <c r="K13" s="17">
        <v>46121</v>
      </c>
      <c r="L13" s="17">
        <v>46122</v>
      </c>
      <c r="M13" s="17">
        <v>46123</v>
      </c>
      <c r="N13" s="17">
        <v>46124</v>
      </c>
      <c r="O13" s="17">
        <v>46125</v>
      </c>
      <c r="P13" s="17">
        <v>46126</v>
      </c>
      <c r="Q13" s="17">
        <v>46127</v>
      </c>
      <c r="R13" s="17">
        <v>46128</v>
      </c>
      <c r="S13" s="17">
        <v>46129</v>
      </c>
      <c r="T13" s="17">
        <v>46130</v>
      </c>
      <c r="U13" s="17">
        <v>46131</v>
      </c>
      <c r="V13" s="17">
        <v>46132</v>
      </c>
      <c r="W13" s="17">
        <v>46133</v>
      </c>
      <c r="X13" s="17">
        <v>46134</v>
      </c>
      <c r="Y13" s="7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6.5" x14ac:dyDescent="0.25">
      <c r="A14" s="63" t="s">
        <v>20</v>
      </c>
      <c r="B14" s="59" t="s">
        <v>105</v>
      </c>
      <c r="C14" s="59"/>
      <c r="D14" s="59"/>
      <c r="E14" s="58" t="s">
        <v>26</v>
      </c>
      <c r="F14" s="58"/>
      <c r="G14" s="18">
        <v>6</v>
      </c>
      <c r="H14" s="18">
        <v>8</v>
      </c>
      <c r="I14" s="19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</row>
    <row r="15" spans="1:53" ht="16.5" x14ac:dyDescent="0.25">
      <c r="A15" s="63"/>
      <c r="B15" s="59"/>
      <c r="C15" s="59"/>
      <c r="D15" s="59"/>
      <c r="E15" s="58"/>
      <c r="F15" s="58"/>
      <c r="G15" s="18"/>
      <c r="H15" s="18"/>
      <c r="I15" s="20">
        <v>-2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53" ht="16.5" x14ac:dyDescent="0.25">
      <c r="A16" s="63"/>
      <c r="B16" s="59" t="s">
        <v>106</v>
      </c>
      <c r="C16" s="59"/>
      <c r="D16" s="59"/>
      <c r="E16" s="58" t="s">
        <v>97</v>
      </c>
      <c r="F16" s="58"/>
      <c r="G16" s="18">
        <v>4</v>
      </c>
      <c r="H16" s="18">
        <v>4</v>
      </c>
      <c r="I16" s="18">
        <v>4</v>
      </c>
      <c r="J16" s="18">
        <v>4</v>
      </c>
      <c r="K16" s="18">
        <v>4</v>
      </c>
      <c r="L16" s="18">
        <v>4</v>
      </c>
      <c r="M16" s="18">
        <v>4</v>
      </c>
      <c r="N16" s="18">
        <v>4</v>
      </c>
      <c r="O16" s="18">
        <v>4</v>
      </c>
      <c r="P16" s="18">
        <v>4</v>
      </c>
      <c r="Q16" s="18">
        <v>4</v>
      </c>
      <c r="R16" s="18">
        <v>4</v>
      </c>
      <c r="S16" s="18">
        <v>4</v>
      </c>
      <c r="T16" s="18">
        <v>4</v>
      </c>
      <c r="U16" s="18">
        <v>3</v>
      </c>
      <c r="V16" s="18">
        <v>2</v>
      </c>
      <c r="W16" s="18">
        <v>1</v>
      </c>
      <c r="X16" s="19">
        <v>0</v>
      </c>
    </row>
    <row r="17" spans="1:24" ht="16.5" x14ac:dyDescent="0.25">
      <c r="A17" s="63"/>
      <c r="B17" s="59" t="s">
        <v>107</v>
      </c>
      <c r="C17" s="59"/>
      <c r="D17" s="59"/>
      <c r="E17" s="58" t="s">
        <v>100</v>
      </c>
      <c r="F17" s="58"/>
      <c r="G17" s="18">
        <v>4</v>
      </c>
      <c r="H17" s="18">
        <v>4</v>
      </c>
      <c r="I17" s="18">
        <v>4</v>
      </c>
      <c r="J17" s="18">
        <v>4</v>
      </c>
      <c r="K17" s="18">
        <v>4</v>
      </c>
      <c r="L17" s="18">
        <v>4</v>
      </c>
      <c r="M17" s="18">
        <v>4</v>
      </c>
      <c r="N17" s="18">
        <v>4</v>
      </c>
      <c r="O17" s="18">
        <v>4</v>
      </c>
      <c r="P17" s="18">
        <v>4</v>
      </c>
      <c r="Q17" s="18">
        <v>4</v>
      </c>
      <c r="R17" s="18">
        <v>4</v>
      </c>
      <c r="S17" s="18">
        <v>4</v>
      </c>
      <c r="T17" s="18">
        <v>4</v>
      </c>
      <c r="U17" s="18">
        <v>3</v>
      </c>
      <c r="V17" s="18">
        <v>2</v>
      </c>
      <c r="W17" s="18">
        <v>1</v>
      </c>
      <c r="X17" s="19">
        <v>0</v>
      </c>
    </row>
    <row r="18" spans="1:24" ht="16.5" x14ac:dyDescent="0.25">
      <c r="A18" s="63"/>
      <c r="B18" s="59" t="s">
        <v>42</v>
      </c>
      <c r="C18" s="59"/>
      <c r="D18" s="59"/>
      <c r="E18" s="58" t="s">
        <v>26</v>
      </c>
      <c r="F18" s="58"/>
      <c r="G18" s="18">
        <v>6</v>
      </c>
      <c r="H18" s="18">
        <v>6</v>
      </c>
      <c r="I18" s="18">
        <v>6</v>
      </c>
      <c r="J18" s="19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</row>
    <row r="19" spans="1:24" ht="17.25" customHeight="1" x14ac:dyDescent="0.25">
      <c r="A19" s="63"/>
      <c r="B19" s="63" t="s">
        <v>14</v>
      </c>
      <c r="C19" s="59" t="s">
        <v>109</v>
      </c>
      <c r="D19" s="59"/>
      <c r="E19" s="58" t="s">
        <v>99</v>
      </c>
      <c r="F19" s="58"/>
      <c r="G19" s="18">
        <v>1</v>
      </c>
      <c r="H19" s="18">
        <v>1</v>
      </c>
      <c r="I19" s="18">
        <v>1</v>
      </c>
      <c r="J19" s="18">
        <v>1</v>
      </c>
      <c r="K19" s="19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</row>
    <row r="20" spans="1:24" ht="16.5" x14ac:dyDescent="0.25">
      <c r="A20" s="63"/>
      <c r="B20" s="63"/>
      <c r="C20" s="59" t="s">
        <v>110</v>
      </c>
      <c r="D20" s="59"/>
      <c r="E20" s="58" t="s">
        <v>99</v>
      </c>
      <c r="F20" s="58"/>
      <c r="G20" s="18">
        <v>1</v>
      </c>
      <c r="H20" s="18">
        <v>1</v>
      </c>
      <c r="I20" s="18">
        <v>1</v>
      </c>
      <c r="J20" s="18">
        <v>1</v>
      </c>
      <c r="K20" s="19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</row>
    <row r="21" spans="1:24" ht="16.5" x14ac:dyDescent="0.25">
      <c r="A21" s="63"/>
      <c r="B21" s="63"/>
      <c r="C21" s="59" t="s">
        <v>111</v>
      </c>
      <c r="D21" s="59"/>
      <c r="E21" s="58" t="s">
        <v>97</v>
      </c>
      <c r="F21" s="58"/>
      <c r="G21" s="18">
        <v>1</v>
      </c>
      <c r="H21" s="18">
        <v>1</v>
      </c>
      <c r="I21" s="18">
        <v>1</v>
      </c>
      <c r="J21" s="18">
        <v>1</v>
      </c>
      <c r="K21" s="19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</row>
    <row r="22" spans="1:24" ht="16.5" x14ac:dyDescent="0.25">
      <c r="A22" s="63"/>
      <c r="B22" s="63"/>
      <c r="C22" s="59" t="s">
        <v>112</v>
      </c>
      <c r="D22" s="59"/>
      <c r="E22" s="58" t="s">
        <v>100</v>
      </c>
      <c r="F22" s="58"/>
      <c r="G22" s="18">
        <v>1</v>
      </c>
      <c r="H22" s="18">
        <v>1</v>
      </c>
      <c r="I22" s="18">
        <v>1</v>
      </c>
      <c r="J22" s="18">
        <v>1</v>
      </c>
      <c r="K22" s="19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</row>
    <row r="23" spans="1:24" ht="16.5" x14ac:dyDescent="0.25">
      <c r="A23" s="63"/>
      <c r="B23" s="63"/>
      <c r="C23" s="59" t="s">
        <v>113</v>
      </c>
      <c r="D23" s="59"/>
      <c r="E23" s="58" t="s">
        <v>101</v>
      </c>
      <c r="F23" s="58"/>
      <c r="G23" s="18">
        <v>1</v>
      </c>
      <c r="H23" s="18">
        <v>1</v>
      </c>
      <c r="I23" s="18">
        <v>1</v>
      </c>
      <c r="J23" s="18">
        <v>1</v>
      </c>
      <c r="K23" s="19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</row>
    <row r="24" spans="1:24" ht="16.5" x14ac:dyDescent="0.25">
      <c r="A24" s="63"/>
      <c r="B24" s="63"/>
      <c r="C24" s="59" t="s">
        <v>114</v>
      </c>
      <c r="D24" s="59"/>
      <c r="E24" s="58" t="s">
        <v>98</v>
      </c>
      <c r="F24" s="58"/>
      <c r="G24" s="18">
        <v>1</v>
      </c>
      <c r="H24" s="18">
        <v>1</v>
      </c>
      <c r="I24" s="18">
        <v>1</v>
      </c>
      <c r="J24" s="18">
        <v>1</v>
      </c>
      <c r="K24" s="19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</row>
    <row r="25" spans="1:24" ht="16.5" x14ac:dyDescent="0.25">
      <c r="A25" s="63"/>
      <c r="B25" s="63"/>
      <c r="C25" s="59" t="s">
        <v>115</v>
      </c>
      <c r="D25" s="59"/>
      <c r="E25" s="38" t="s">
        <v>158</v>
      </c>
      <c r="F25" s="39"/>
      <c r="G25" s="18">
        <v>1</v>
      </c>
      <c r="H25" s="18">
        <v>1</v>
      </c>
      <c r="I25" s="18">
        <v>1</v>
      </c>
      <c r="J25" s="18">
        <v>1</v>
      </c>
      <c r="K25" s="19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</row>
    <row r="26" spans="1:24" ht="16.5" x14ac:dyDescent="0.25">
      <c r="A26" s="63"/>
      <c r="B26" s="63"/>
      <c r="C26" s="59" t="s">
        <v>51</v>
      </c>
      <c r="D26" s="59"/>
      <c r="E26" s="38" t="s">
        <v>26</v>
      </c>
      <c r="F26" s="39"/>
      <c r="G26" s="18">
        <v>1</v>
      </c>
      <c r="H26" s="18">
        <v>1</v>
      </c>
      <c r="I26" s="18">
        <v>1</v>
      </c>
      <c r="J26" s="18">
        <v>1</v>
      </c>
      <c r="K26" s="19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</row>
    <row r="27" spans="1:24" ht="16.5" x14ac:dyDescent="0.25">
      <c r="A27" s="63"/>
      <c r="B27" s="63" t="s">
        <v>15</v>
      </c>
      <c r="C27" s="59" t="s">
        <v>116</v>
      </c>
      <c r="D27" s="59"/>
      <c r="E27" s="58" t="s">
        <v>100</v>
      </c>
      <c r="F27" s="58"/>
      <c r="G27" s="18">
        <v>2</v>
      </c>
      <c r="H27" s="18">
        <v>2</v>
      </c>
      <c r="I27" s="18">
        <v>2</v>
      </c>
      <c r="J27" s="18">
        <v>2</v>
      </c>
      <c r="K27" s="18">
        <v>2</v>
      </c>
      <c r="L27" s="19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</row>
    <row r="28" spans="1:24" ht="16.5" x14ac:dyDescent="0.25">
      <c r="A28" s="63"/>
      <c r="B28" s="63"/>
      <c r="C28" s="59" t="s">
        <v>117</v>
      </c>
      <c r="D28" s="59"/>
      <c r="E28" s="58" t="s">
        <v>100</v>
      </c>
      <c r="F28" s="58"/>
      <c r="G28" s="18">
        <v>2</v>
      </c>
      <c r="H28" s="18">
        <v>2</v>
      </c>
      <c r="I28" s="18">
        <v>2</v>
      </c>
      <c r="J28" s="18">
        <v>2</v>
      </c>
      <c r="K28" s="18">
        <v>2</v>
      </c>
      <c r="L28" s="19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</row>
    <row r="29" spans="1:24" ht="16.5" x14ac:dyDescent="0.25">
      <c r="A29" s="63"/>
      <c r="B29" s="63"/>
      <c r="C29" s="59" t="s">
        <v>118</v>
      </c>
      <c r="D29" s="59"/>
      <c r="E29" s="58" t="s">
        <v>100</v>
      </c>
      <c r="F29" s="58"/>
      <c r="G29" s="18">
        <v>2</v>
      </c>
      <c r="H29" s="18">
        <v>2</v>
      </c>
      <c r="I29" s="18">
        <v>2</v>
      </c>
      <c r="J29" s="18">
        <v>2</v>
      </c>
      <c r="K29" s="18">
        <v>2</v>
      </c>
      <c r="L29" s="19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</row>
    <row r="30" spans="1:24" ht="16.5" x14ac:dyDescent="0.25">
      <c r="A30" s="63"/>
      <c r="B30" s="63"/>
      <c r="C30" s="59" t="s">
        <v>119</v>
      </c>
      <c r="D30" s="59"/>
      <c r="E30" s="58" t="s">
        <v>100</v>
      </c>
      <c r="F30" s="58"/>
      <c r="G30" s="18">
        <v>2</v>
      </c>
      <c r="H30" s="18">
        <v>2</v>
      </c>
      <c r="I30" s="18">
        <v>2</v>
      </c>
      <c r="J30" s="18">
        <v>2</v>
      </c>
      <c r="K30" s="18">
        <v>2</v>
      </c>
      <c r="L30" s="19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</row>
    <row r="31" spans="1:24" ht="16.5" x14ac:dyDescent="0.25">
      <c r="A31" s="63"/>
      <c r="B31" s="63"/>
      <c r="C31" s="59" t="s">
        <v>120</v>
      </c>
      <c r="D31" s="59"/>
      <c r="E31" s="58" t="s">
        <v>100</v>
      </c>
      <c r="F31" s="58"/>
      <c r="G31" s="18">
        <v>4</v>
      </c>
      <c r="H31" s="18">
        <v>2</v>
      </c>
      <c r="I31" s="18">
        <v>2</v>
      </c>
      <c r="J31" s="18">
        <v>2</v>
      </c>
      <c r="K31" s="18">
        <v>2</v>
      </c>
      <c r="L31" s="18">
        <v>2</v>
      </c>
      <c r="M31" s="19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</row>
    <row r="32" spans="1:24" ht="16.5" x14ac:dyDescent="0.25">
      <c r="A32" s="63"/>
      <c r="B32" s="63"/>
      <c r="C32" s="59"/>
      <c r="D32" s="59"/>
      <c r="E32" s="58"/>
      <c r="F32" s="58"/>
      <c r="G32" s="18"/>
      <c r="H32" s="18"/>
      <c r="I32" s="18"/>
      <c r="J32" s="18"/>
      <c r="K32" s="18"/>
      <c r="L32" s="18"/>
      <c r="M32" s="21">
        <v>2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16.5" x14ac:dyDescent="0.25">
      <c r="A33" s="63"/>
      <c r="B33" s="63"/>
      <c r="C33" s="59" t="s">
        <v>121</v>
      </c>
      <c r="D33" s="59"/>
      <c r="E33" s="58" t="s">
        <v>100</v>
      </c>
      <c r="F33" s="58"/>
      <c r="G33" s="18">
        <v>2</v>
      </c>
      <c r="H33" s="18">
        <v>2</v>
      </c>
      <c r="I33" s="18">
        <v>2</v>
      </c>
      <c r="J33" s="18">
        <v>2</v>
      </c>
      <c r="K33" s="18">
        <v>2</v>
      </c>
      <c r="L33" s="18">
        <v>2</v>
      </c>
      <c r="M33" s="19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</row>
    <row r="34" spans="1:24" ht="16.5" x14ac:dyDescent="0.25">
      <c r="A34" s="63"/>
      <c r="B34" s="63"/>
      <c r="C34" s="59" t="s">
        <v>122</v>
      </c>
      <c r="D34" s="59"/>
      <c r="E34" s="58" t="s">
        <v>100</v>
      </c>
      <c r="F34" s="58"/>
      <c r="G34" s="18">
        <v>4</v>
      </c>
      <c r="H34" s="18">
        <v>2</v>
      </c>
      <c r="I34" s="18">
        <v>2</v>
      </c>
      <c r="J34" s="18">
        <v>2</v>
      </c>
      <c r="K34" s="18">
        <v>2</v>
      </c>
      <c r="L34" s="18">
        <v>2</v>
      </c>
      <c r="M34" s="19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</row>
    <row r="35" spans="1:24" ht="16.5" x14ac:dyDescent="0.25">
      <c r="A35" s="63"/>
      <c r="B35" s="63"/>
      <c r="C35" s="59"/>
      <c r="D35" s="59"/>
      <c r="E35" s="58"/>
      <c r="F35" s="58"/>
      <c r="G35" s="18"/>
      <c r="H35" s="18"/>
      <c r="I35" s="18"/>
      <c r="J35" s="18"/>
      <c r="K35" s="18"/>
      <c r="L35" s="18"/>
      <c r="M35" s="21">
        <v>2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ht="16.5" x14ac:dyDescent="0.25">
      <c r="A36" s="63"/>
      <c r="B36" s="63" t="s">
        <v>16</v>
      </c>
      <c r="C36" s="59" t="s">
        <v>123</v>
      </c>
      <c r="D36" s="59"/>
      <c r="E36" s="58" t="s">
        <v>158</v>
      </c>
      <c r="F36" s="58"/>
      <c r="G36" s="18">
        <v>3</v>
      </c>
      <c r="H36" s="18">
        <v>4</v>
      </c>
      <c r="I36" s="18">
        <v>4</v>
      </c>
      <c r="J36" s="18">
        <v>4</v>
      </c>
      <c r="K36" s="18">
        <v>4</v>
      </c>
      <c r="L36" s="18">
        <v>4</v>
      </c>
      <c r="M36" s="18">
        <v>4</v>
      </c>
      <c r="N36" s="19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</row>
    <row r="37" spans="1:24" ht="16.5" x14ac:dyDescent="0.25">
      <c r="A37" s="63"/>
      <c r="B37" s="63"/>
      <c r="C37" s="59"/>
      <c r="D37" s="59"/>
      <c r="E37" s="58"/>
      <c r="F37" s="58"/>
      <c r="G37" s="18"/>
      <c r="H37" s="18"/>
      <c r="I37" s="18"/>
      <c r="J37" s="18"/>
      <c r="K37" s="18"/>
      <c r="L37" s="18"/>
      <c r="M37" s="18"/>
      <c r="N37" s="20">
        <v>-1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16.5" x14ac:dyDescent="0.25">
      <c r="A38" s="63"/>
      <c r="B38" s="63"/>
      <c r="C38" s="59" t="s">
        <v>124</v>
      </c>
      <c r="D38" s="59"/>
      <c r="E38" s="58" t="s">
        <v>98</v>
      </c>
      <c r="F38" s="58"/>
      <c r="G38" s="18">
        <v>4</v>
      </c>
      <c r="H38" s="18">
        <v>4</v>
      </c>
      <c r="I38" s="18">
        <v>4</v>
      </c>
      <c r="J38" s="18">
        <v>4</v>
      </c>
      <c r="K38" s="18">
        <v>4</v>
      </c>
      <c r="L38" s="18">
        <v>4</v>
      </c>
      <c r="M38" s="18">
        <v>4</v>
      </c>
      <c r="N38" s="19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</row>
    <row r="39" spans="1:24" ht="16.5" x14ac:dyDescent="0.25">
      <c r="A39" s="63"/>
      <c r="B39" s="63"/>
      <c r="C39" s="59" t="s">
        <v>125</v>
      </c>
      <c r="D39" s="59"/>
      <c r="E39" s="58" t="s">
        <v>158</v>
      </c>
      <c r="F39" s="58"/>
      <c r="G39" s="18">
        <v>5</v>
      </c>
      <c r="H39" s="18">
        <v>5</v>
      </c>
      <c r="I39" s="18">
        <v>5</v>
      </c>
      <c r="J39" s="18">
        <v>5</v>
      </c>
      <c r="K39" s="18">
        <v>5</v>
      </c>
      <c r="L39" s="18">
        <v>5</v>
      </c>
      <c r="M39" s="18">
        <v>5</v>
      </c>
      <c r="N39" s="18">
        <v>5</v>
      </c>
      <c r="O39" s="19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</row>
    <row r="40" spans="1:24" ht="16.5" x14ac:dyDescent="0.25">
      <c r="A40" s="63"/>
      <c r="B40" s="63"/>
      <c r="C40" s="59" t="s">
        <v>126</v>
      </c>
      <c r="D40" s="59"/>
      <c r="E40" s="58" t="s">
        <v>98</v>
      </c>
      <c r="F40" s="58"/>
      <c r="G40" s="18">
        <v>5</v>
      </c>
      <c r="H40" s="18">
        <v>5</v>
      </c>
      <c r="I40" s="18">
        <v>5</v>
      </c>
      <c r="J40" s="18">
        <v>5</v>
      </c>
      <c r="K40" s="18">
        <v>5</v>
      </c>
      <c r="L40" s="18">
        <v>5</v>
      </c>
      <c r="M40" s="18">
        <v>5</v>
      </c>
      <c r="N40" s="18">
        <v>5</v>
      </c>
      <c r="O40" s="19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</row>
    <row r="41" spans="1:24" ht="16.5" x14ac:dyDescent="0.25">
      <c r="A41" s="63"/>
      <c r="B41" s="63"/>
      <c r="C41" s="59" t="s">
        <v>127</v>
      </c>
      <c r="D41" s="59"/>
      <c r="E41" s="58" t="s">
        <v>158</v>
      </c>
      <c r="F41" s="58"/>
      <c r="G41" s="18">
        <v>3</v>
      </c>
      <c r="H41" s="18">
        <v>5</v>
      </c>
      <c r="I41" s="18">
        <v>5</v>
      </c>
      <c r="J41" s="18">
        <v>5</v>
      </c>
      <c r="K41" s="18">
        <v>5</v>
      </c>
      <c r="L41" s="18">
        <v>5</v>
      </c>
      <c r="M41" s="18">
        <v>5</v>
      </c>
      <c r="N41" s="18">
        <v>5</v>
      </c>
      <c r="O41" s="18">
        <v>5</v>
      </c>
      <c r="P41" s="19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</row>
    <row r="42" spans="1:24" ht="16.5" x14ac:dyDescent="0.25">
      <c r="A42" s="63"/>
      <c r="B42" s="63"/>
      <c r="C42" s="59"/>
      <c r="D42" s="59"/>
      <c r="E42" s="58"/>
      <c r="F42" s="58"/>
      <c r="G42" s="18"/>
      <c r="H42" s="18"/>
      <c r="I42" s="18"/>
      <c r="J42" s="18"/>
      <c r="K42" s="18"/>
      <c r="L42" s="18"/>
      <c r="M42" s="18"/>
      <c r="N42" s="18"/>
      <c r="O42" s="18"/>
      <c r="P42" s="20">
        <v>-2</v>
      </c>
      <c r="Q42" s="18"/>
      <c r="R42" s="18"/>
      <c r="S42" s="18"/>
      <c r="T42" s="18"/>
      <c r="U42" s="18"/>
      <c r="V42" s="18"/>
      <c r="W42" s="18"/>
      <c r="X42" s="18"/>
    </row>
    <row r="43" spans="1:24" ht="16.5" x14ac:dyDescent="0.25">
      <c r="A43" s="63"/>
      <c r="B43" s="63"/>
      <c r="C43" s="59" t="s">
        <v>128</v>
      </c>
      <c r="D43" s="59"/>
      <c r="E43" s="58" t="s">
        <v>98</v>
      </c>
      <c r="F43" s="58"/>
      <c r="G43" s="18">
        <v>5</v>
      </c>
      <c r="H43" s="18">
        <v>5</v>
      </c>
      <c r="I43" s="18">
        <v>5</v>
      </c>
      <c r="J43" s="18">
        <v>5</v>
      </c>
      <c r="K43" s="18">
        <v>5</v>
      </c>
      <c r="L43" s="18">
        <v>5</v>
      </c>
      <c r="M43" s="18">
        <v>5</v>
      </c>
      <c r="N43" s="18">
        <v>5</v>
      </c>
      <c r="O43" s="18">
        <v>5</v>
      </c>
      <c r="P43" s="19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</row>
    <row r="44" spans="1:24" ht="16.5" x14ac:dyDescent="0.25">
      <c r="A44" s="63"/>
      <c r="B44" s="63"/>
      <c r="C44" s="59" t="s">
        <v>129</v>
      </c>
      <c r="D44" s="59"/>
      <c r="E44" s="58" t="s">
        <v>158</v>
      </c>
      <c r="F44" s="58"/>
      <c r="G44" s="18">
        <v>4</v>
      </c>
      <c r="H44" s="18">
        <v>4</v>
      </c>
      <c r="I44" s="18">
        <v>4</v>
      </c>
      <c r="J44" s="18">
        <v>4</v>
      </c>
      <c r="K44" s="18">
        <v>4</v>
      </c>
      <c r="L44" s="18">
        <v>4</v>
      </c>
      <c r="M44" s="18">
        <v>4</v>
      </c>
      <c r="N44" s="18">
        <v>4</v>
      </c>
      <c r="O44" s="18">
        <v>4</v>
      </c>
      <c r="P44" s="18">
        <v>4</v>
      </c>
      <c r="Q44" s="19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</row>
    <row r="45" spans="1:24" ht="16.5" x14ac:dyDescent="0.25">
      <c r="A45" s="63"/>
      <c r="B45" s="63"/>
      <c r="C45" s="59" t="s">
        <v>130</v>
      </c>
      <c r="D45" s="59"/>
      <c r="E45" s="58" t="s">
        <v>98</v>
      </c>
      <c r="F45" s="58"/>
      <c r="G45" s="18">
        <v>4</v>
      </c>
      <c r="H45" s="18">
        <v>4</v>
      </c>
      <c r="I45" s="18">
        <v>4</v>
      </c>
      <c r="J45" s="18">
        <v>4</v>
      </c>
      <c r="K45" s="18">
        <v>4</v>
      </c>
      <c r="L45" s="18">
        <v>4</v>
      </c>
      <c r="M45" s="18">
        <v>4</v>
      </c>
      <c r="N45" s="18">
        <v>4</v>
      </c>
      <c r="O45" s="18">
        <v>4</v>
      </c>
      <c r="P45" s="18">
        <v>4</v>
      </c>
      <c r="Q45" s="19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</row>
    <row r="46" spans="1:24" ht="16.5" x14ac:dyDescent="0.25">
      <c r="A46" s="63"/>
      <c r="B46" s="63"/>
      <c r="C46" s="59" t="s">
        <v>131</v>
      </c>
      <c r="D46" s="59"/>
      <c r="E46" s="58" t="s">
        <v>158</v>
      </c>
      <c r="F46" s="58"/>
      <c r="G46" s="18">
        <v>7</v>
      </c>
      <c r="H46" s="18">
        <v>7</v>
      </c>
      <c r="I46" s="18">
        <v>7</v>
      </c>
      <c r="J46" s="18">
        <v>7</v>
      </c>
      <c r="K46" s="18">
        <v>7</v>
      </c>
      <c r="L46" s="18">
        <v>7</v>
      </c>
      <c r="M46" s="18">
        <v>7</v>
      </c>
      <c r="N46" s="18">
        <v>7</v>
      </c>
      <c r="O46" s="18">
        <v>7</v>
      </c>
      <c r="P46" s="18">
        <v>7</v>
      </c>
      <c r="Q46" s="18">
        <v>3</v>
      </c>
      <c r="R46" s="19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</row>
    <row r="47" spans="1:24" ht="16.5" x14ac:dyDescent="0.25">
      <c r="A47" s="63"/>
      <c r="B47" s="63"/>
      <c r="C47" s="59" t="s">
        <v>132</v>
      </c>
      <c r="D47" s="59"/>
      <c r="E47" s="58" t="s">
        <v>98</v>
      </c>
      <c r="F47" s="58"/>
      <c r="G47" s="18">
        <v>10</v>
      </c>
      <c r="H47" s="18">
        <v>7</v>
      </c>
      <c r="I47" s="18">
        <v>7</v>
      </c>
      <c r="J47" s="18">
        <v>7</v>
      </c>
      <c r="K47" s="18">
        <v>7</v>
      </c>
      <c r="L47" s="18">
        <v>7</v>
      </c>
      <c r="M47" s="18">
        <v>7</v>
      </c>
      <c r="N47" s="18">
        <v>7</v>
      </c>
      <c r="O47" s="18">
        <v>7</v>
      </c>
      <c r="P47" s="18">
        <v>7</v>
      </c>
      <c r="Q47" s="18">
        <v>7</v>
      </c>
      <c r="R47" s="19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</row>
    <row r="48" spans="1:24" ht="16.5" x14ac:dyDescent="0.25">
      <c r="A48" s="63"/>
      <c r="B48" s="63"/>
      <c r="C48" s="59"/>
      <c r="D48" s="59"/>
      <c r="E48" s="58"/>
      <c r="F48" s="5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21">
        <v>3</v>
      </c>
      <c r="S48" s="18"/>
      <c r="T48" s="18"/>
      <c r="U48" s="18"/>
      <c r="V48" s="18"/>
      <c r="W48" s="18"/>
      <c r="X48" s="18"/>
    </row>
    <row r="49" spans="1:24" ht="16.5" x14ac:dyDescent="0.25">
      <c r="A49" s="63"/>
      <c r="B49" s="63"/>
      <c r="C49" s="59" t="s">
        <v>133</v>
      </c>
      <c r="D49" s="59"/>
      <c r="E49" s="58" t="s">
        <v>158</v>
      </c>
      <c r="F49" s="58"/>
      <c r="G49" s="18">
        <v>4</v>
      </c>
      <c r="H49" s="18">
        <v>4</v>
      </c>
      <c r="I49" s="18">
        <v>4</v>
      </c>
      <c r="J49" s="18">
        <v>4</v>
      </c>
      <c r="K49" s="18">
        <v>4</v>
      </c>
      <c r="L49" s="18">
        <v>4</v>
      </c>
      <c r="M49" s="18">
        <v>4</v>
      </c>
      <c r="N49" s="18">
        <v>4</v>
      </c>
      <c r="O49" s="18">
        <v>4</v>
      </c>
      <c r="P49" s="18">
        <v>4</v>
      </c>
      <c r="Q49" s="18">
        <v>4</v>
      </c>
      <c r="R49" s="18">
        <v>4</v>
      </c>
      <c r="S49" s="19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</row>
    <row r="50" spans="1:24" ht="16.5" x14ac:dyDescent="0.25">
      <c r="A50" s="63"/>
      <c r="B50" s="63"/>
      <c r="C50" s="59" t="s">
        <v>134</v>
      </c>
      <c r="D50" s="59"/>
      <c r="E50" s="58" t="s">
        <v>98</v>
      </c>
      <c r="F50" s="58"/>
      <c r="G50" s="18">
        <v>4</v>
      </c>
      <c r="H50" s="18">
        <v>4</v>
      </c>
      <c r="I50" s="18">
        <v>4</v>
      </c>
      <c r="J50" s="18">
        <v>4</v>
      </c>
      <c r="K50" s="18">
        <v>4</v>
      </c>
      <c r="L50" s="18">
        <v>4</v>
      </c>
      <c r="M50" s="18">
        <v>4</v>
      </c>
      <c r="N50" s="18">
        <v>4</v>
      </c>
      <c r="O50" s="18">
        <v>4</v>
      </c>
      <c r="P50" s="18">
        <v>4</v>
      </c>
      <c r="Q50" s="18">
        <v>4</v>
      </c>
      <c r="R50" s="18">
        <v>4</v>
      </c>
      <c r="S50" s="19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</row>
    <row r="51" spans="1:24" ht="16.5" x14ac:dyDescent="0.25">
      <c r="A51" s="63"/>
      <c r="B51" s="63"/>
      <c r="C51" s="59" t="s">
        <v>135</v>
      </c>
      <c r="D51" s="59"/>
      <c r="E51" s="58" t="s">
        <v>158</v>
      </c>
      <c r="F51" s="58"/>
      <c r="G51" s="18">
        <v>8</v>
      </c>
      <c r="H51" s="18">
        <v>10</v>
      </c>
      <c r="I51" s="18">
        <v>10</v>
      </c>
      <c r="J51" s="18">
        <v>10</v>
      </c>
      <c r="K51" s="18">
        <v>10</v>
      </c>
      <c r="L51" s="18">
        <v>10</v>
      </c>
      <c r="M51" s="18">
        <v>10</v>
      </c>
      <c r="N51" s="18">
        <v>10</v>
      </c>
      <c r="O51" s="18">
        <v>10</v>
      </c>
      <c r="P51" s="18">
        <v>10</v>
      </c>
      <c r="Q51" s="18">
        <v>10</v>
      </c>
      <c r="R51" s="18">
        <v>10</v>
      </c>
      <c r="S51" s="18">
        <v>6</v>
      </c>
      <c r="T51" s="18">
        <v>2</v>
      </c>
      <c r="U51" s="19">
        <v>0</v>
      </c>
      <c r="V51" s="18">
        <v>0</v>
      </c>
      <c r="W51" s="18">
        <v>0</v>
      </c>
      <c r="X51" s="18">
        <v>0</v>
      </c>
    </row>
    <row r="52" spans="1:24" ht="16.5" x14ac:dyDescent="0.25">
      <c r="A52" s="63"/>
      <c r="B52" s="63"/>
      <c r="C52" s="59"/>
      <c r="D52" s="59"/>
      <c r="E52" s="58"/>
      <c r="F52" s="5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0">
        <v>-2</v>
      </c>
      <c r="V52" s="18"/>
      <c r="W52" s="18"/>
      <c r="X52" s="18"/>
    </row>
    <row r="53" spans="1:24" ht="16.5" x14ac:dyDescent="0.25">
      <c r="A53" s="63"/>
      <c r="B53" s="63"/>
      <c r="C53" s="59" t="s">
        <v>136</v>
      </c>
      <c r="D53" s="59"/>
      <c r="E53" s="58" t="s">
        <v>98</v>
      </c>
      <c r="F53" s="58"/>
      <c r="G53" s="18">
        <v>13</v>
      </c>
      <c r="H53" s="18">
        <v>10</v>
      </c>
      <c r="I53" s="18">
        <v>10</v>
      </c>
      <c r="J53" s="18">
        <v>10</v>
      </c>
      <c r="K53" s="18">
        <v>10</v>
      </c>
      <c r="L53" s="18">
        <v>10</v>
      </c>
      <c r="M53" s="18">
        <v>10</v>
      </c>
      <c r="N53" s="18">
        <v>10</v>
      </c>
      <c r="O53" s="18">
        <v>10</v>
      </c>
      <c r="P53" s="18">
        <v>10</v>
      </c>
      <c r="Q53" s="18">
        <v>10</v>
      </c>
      <c r="R53" s="18">
        <v>10</v>
      </c>
      <c r="S53" s="18">
        <v>10</v>
      </c>
      <c r="T53" s="18">
        <v>5</v>
      </c>
      <c r="U53" s="19">
        <v>0</v>
      </c>
      <c r="V53" s="18">
        <v>0</v>
      </c>
      <c r="W53" s="18">
        <v>0</v>
      </c>
      <c r="X53" s="18">
        <v>0</v>
      </c>
    </row>
    <row r="54" spans="1:24" ht="16.5" x14ac:dyDescent="0.25">
      <c r="A54" s="63"/>
      <c r="B54" s="63"/>
      <c r="C54" s="59"/>
      <c r="D54" s="59"/>
      <c r="E54" s="58"/>
      <c r="F54" s="5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21">
        <v>3</v>
      </c>
      <c r="V54" s="18"/>
      <c r="W54" s="18"/>
      <c r="X54" s="18"/>
    </row>
    <row r="55" spans="1:24" ht="16.5" x14ac:dyDescent="0.25">
      <c r="A55" s="63"/>
      <c r="B55" s="63"/>
      <c r="C55" s="59" t="s">
        <v>61</v>
      </c>
      <c r="D55" s="59"/>
      <c r="E55" s="58" t="s">
        <v>26</v>
      </c>
      <c r="F55" s="58"/>
      <c r="G55" s="18">
        <v>8</v>
      </c>
      <c r="H55" s="18">
        <v>8</v>
      </c>
      <c r="I55" s="18">
        <v>8</v>
      </c>
      <c r="J55" s="18">
        <v>8</v>
      </c>
      <c r="K55" s="18">
        <v>8</v>
      </c>
      <c r="L55" s="18">
        <v>8</v>
      </c>
      <c r="M55" s="18">
        <v>8</v>
      </c>
      <c r="N55" s="18">
        <v>8</v>
      </c>
      <c r="O55" s="18">
        <v>8</v>
      </c>
      <c r="P55" s="18">
        <v>8</v>
      </c>
      <c r="Q55" s="18">
        <v>8</v>
      </c>
      <c r="R55" s="18">
        <v>8</v>
      </c>
      <c r="S55" s="18">
        <v>8</v>
      </c>
      <c r="T55" s="18">
        <v>8</v>
      </c>
      <c r="U55" s="19">
        <v>0</v>
      </c>
      <c r="V55" s="18">
        <v>0</v>
      </c>
      <c r="W55" s="18">
        <v>0</v>
      </c>
      <c r="X55" s="18">
        <v>0</v>
      </c>
    </row>
    <row r="56" spans="1:24" ht="16.5" x14ac:dyDescent="0.25">
      <c r="A56" s="63"/>
      <c r="B56" s="63" t="s">
        <v>17</v>
      </c>
      <c r="C56" s="59" t="s">
        <v>137</v>
      </c>
      <c r="D56" s="59"/>
      <c r="E56" s="58" t="s">
        <v>100</v>
      </c>
      <c r="F56" s="58"/>
      <c r="G56" s="18">
        <v>2</v>
      </c>
      <c r="H56" s="18">
        <v>2</v>
      </c>
      <c r="I56" s="18">
        <v>2</v>
      </c>
      <c r="J56" s="18">
        <v>2</v>
      </c>
      <c r="K56" s="18">
        <v>2</v>
      </c>
      <c r="L56" s="18">
        <v>2</v>
      </c>
      <c r="M56" s="18">
        <v>2</v>
      </c>
      <c r="N56" s="18">
        <v>2</v>
      </c>
      <c r="O56" s="18">
        <v>2</v>
      </c>
      <c r="P56" s="18">
        <v>2</v>
      </c>
      <c r="Q56" s="18">
        <v>2</v>
      </c>
      <c r="R56" s="18">
        <v>2</v>
      </c>
      <c r="S56" s="18">
        <v>2</v>
      </c>
      <c r="T56" s="18">
        <v>2</v>
      </c>
      <c r="U56" s="18">
        <v>2</v>
      </c>
      <c r="V56" s="19">
        <v>0</v>
      </c>
      <c r="W56" s="18">
        <v>0</v>
      </c>
      <c r="X56" s="18">
        <v>0</v>
      </c>
    </row>
    <row r="57" spans="1:24" ht="16.5" x14ac:dyDescent="0.25">
      <c r="A57" s="63"/>
      <c r="B57" s="63"/>
      <c r="C57" s="59" t="s">
        <v>138</v>
      </c>
      <c r="D57" s="59"/>
      <c r="E57" s="58" t="s">
        <v>100</v>
      </c>
      <c r="F57" s="58"/>
      <c r="G57" s="18">
        <v>2</v>
      </c>
      <c r="H57" s="18">
        <v>2</v>
      </c>
      <c r="I57" s="18">
        <v>2</v>
      </c>
      <c r="J57" s="18">
        <v>2</v>
      </c>
      <c r="K57" s="18">
        <v>2</v>
      </c>
      <c r="L57" s="18">
        <v>2</v>
      </c>
      <c r="M57" s="18">
        <v>2</v>
      </c>
      <c r="N57" s="18">
        <v>2</v>
      </c>
      <c r="O57" s="18">
        <v>2</v>
      </c>
      <c r="P57" s="18">
        <v>2</v>
      </c>
      <c r="Q57" s="18">
        <v>2</v>
      </c>
      <c r="R57" s="18">
        <v>2</v>
      </c>
      <c r="S57" s="18">
        <v>2</v>
      </c>
      <c r="T57" s="18">
        <v>2</v>
      </c>
      <c r="U57" s="18">
        <v>2</v>
      </c>
      <c r="V57" s="19">
        <v>0</v>
      </c>
      <c r="W57" s="18">
        <v>0</v>
      </c>
      <c r="X57" s="18">
        <v>0</v>
      </c>
    </row>
    <row r="58" spans="1:24" ht="16.5" x14ac:dyDescent="0.25">
      <c r="A58" s="63"/>
      <c r="B58" s="63"/>
      <c r="C58" s="59" t="s">
        <v>139</v>
      </c>
      <c r="D58" s="59"/>
      <c r="E58" s="58" t="s">
        <v>100</v>
      </c>
      <c r="F58" s="58"/>
      <c r="G58" s="18">
        <v>2</v>
      </c>
      <c r="H58" s="18">
        <v>2</v>
      </c>
      <c r="I58" s="18">
        <v>2</v>
      </c>
      <c r="J58" s="18">
        <v>2</v>
      </c>
      <c r="K58" s="18">
        <v>2</v>
      </c>
      <c r="L58" s="18">
        <v>2</v>
      </c>
      <c r="M58" s="18">
        <v>2</v>
      </c>
      <c r="N58" s="18">
        <v>2</v>
      </c>
      <c r="O58" s="18">
        <v>2</v>
      </c>
      <c r="P58" s="18">
        <v>2</v>
      </c>
      <c r="Q58" s="18">
        <v>2</v>
      </c>
      <c r="R58" s="18">
        <v>2</v>
      </c>
      <c r="S58" s="18">
        <v>2</v>
      </c>
      <c r="T58" s="18">
        <v>2</v>
      </c>
      <c r="U58" s="18">
        <v>2</v>
      </c>
      <c r="V58" s="19">
        <v>0</v>
      </c>
      <c r="W58" s="18">
        <v>0</v>
      </c>
      <c r="X58" s="18">
        <v>0</v>
      </c>
    </row>
    <row r="59" spans="1:24" ht="16.5" x14ac:dyDescent="0.25">
      <c r="A59" s="63"/>
      <c r="B59" s="63"/>
      <c r="C59" s="59" t="s">
        <v>140</v>
      </c>
      <c r="D59" s="59"/>
      <c r="E59" s="58" t="s">
        <v>100</v>
      </c>
      <c r="F59" s="58"/>
      <c r="G59" s="18">
        <v>1</v>
      </c>
      <c r="H59" s="18">
        <v>2</v>
      </c>
      <c r="I59" s="18">
        <v>2</v>
      </c>
      <c r="J59" s="18">
        <v>2</v>
      </c>
      <c r="K59" s="18">
        <v>2</v>
      </c>
      <c r="L59" s="18">
        <v>2</v>
      </c>
      <c r="M59" s="18">
        <v>2</v>
      </c>
      <c r="N59" s="18">
        <v>2</v>
      </c>
      <c r="O59" s="18">
        <v>2</v>
      </c>
      <c r="P59" s="18">
        <v>2</v>
      </c>
      <c r="Q59" s="18">
        <v>2</v>
      </c>
      <c r="R59" s="18">
        <v>2</v>
      </c>
      <c r="S59" s="18">
        <v>2</v>
      </c>
      <c r="T59" s="18">
        <v>2</v>
      </c>
      <c r="U59" s="18">
        <v>2</v>
      </c>
      <c r="V59" s="19">
        <v>0</v>
      </c>
      <c r="W59" s="18">
        <v>0</v>
      </c>
      <c r="X59" s="18">
        <v>0</v>
      </c>
    </row>
    <row r="60" spans="1:24" ht="16.5" x14ac:dyDescent="0.25">
      <c r="A60" s="63"/>
      <c r="B60" s="63"/>
      <c r="C60" s="59"/>
      <c r="D60" s="59"/>
      <c r="E60" s="58"/>
      <c r="F60" s="5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20">
        <v>-1</v>
      </c>
      <c r="W60" s="18"/>
      <c r="X60" s="18"/>
    </row>
    <row r="61" spans="1:24" ht="16.5" x14ac:dyDescent="0.25">
      <c r="A61" s="63"/>
      <c r="B61" s="63"/>
      <c r="C61" s="59" t="s">
        <v>141</v>
      </c>
      <c r="D61" s="59"/>
      <c r="E61" s="58" t="s">
        <v>100</v>
      </c>
      <c r="F61" s="58"/>
      <c r="G61" s="18">
        <v>2</v>
      </c>
      <c r="H61" s="18">
        <v>2</v>
      </c>
      <c r="I61" s="18">
        <v>2</v>
      </c>
      <c r="J61" s="18">
        <v>2</v>
      </c>
      <c r="K61" s="18">
        <v>2</v>
      </c>
      <c r="L61" s="18">
        <v>2</v>
      </c>
      <c r="M61" s="18">
        <v>2</v>
      </c>
      <c r="N61" s="18">
        <v>2</v>
      </c>
      <c r="O61" s="18">
        <v>2</v>
      </c>
      <c r="P61" s="18">
        <v>2</v>
      </c>
      <c r="Q61" s="18">
        <v>2</v>
      </c>
      <c r="R61" s="18">
        <v>2</v>
      </c>
      <c r="S61" s="18">
        <v>2</v>
      </c>
      <c r="T61" s="18">
        <v>2</v>
      </c>
      <c r="U61" s="18">
        <v>2</v>
      </c>
      <c r="V61" s="19">
        <v>0</v>
      </c>
      <c r="W61" s="18">
        <v>0</v>
      </c>
      <c r="X61" s="18">
        <v>0</v>
      </c>
    </row>
    <row r="62" spans="1:24" ht="16.5" x14ac:dyDescent="0.25">
      <c r="A62" s="63"/>
      <c r="B62" s="63"/>
      <c r="C62" s="59" t="s">
        <v>142</v>
      </c>
      <c r="D62" s="59"/>
      <c r="E62" s="58" t="s">
        <v>100</v>
      </c>
      <c r="F62" s="58"/>
      <c r="G62" s="18">
        <v>2</v>
      </c>
      <c r="H62" s="18">
        <v>2</v>
      </c>
      <c r="I62" s="18">
        <v>2</v>
      </c>
      <c r="J62" s="18">
        <v>2</v>
      </c>
      <c r="K62" s="18">
        <v>2</v>
      </c>
      <c r="L62" s="18">
        <v>2</v>
      </c>
      <c r="M62" s="18">
        <v>2</v>
      </c>
      <c r="N62" s="18">
        <v>2</v>
      </c>
      <c r="O62" s="18">
        <v>2</v>
      </c>
      <c r="P62" s="18">
        <v>2</v>
      </c>
      <c r="Q62" s="18">
        <v>2</v>
      </c>
      <c r="R62" s="18">
        <v>2</v>
      </c>
      <c r="S62" s="18">
        <v>2</v>
      </c>
      <c r="T62" s="18">
        <v>2</v>
      </c>
      <c r="U62" s="18">
        <v>2</v>
      </c>
      <c r="V62" s="19">
        <v>0</v>
      </c>
      <c r="W62" s="18">
        <v>0</v>
      </c>
      <c r="X62" s="18">
        <v>0</v>
      </c>
    </row>
    <row r="63" spans="1:24" ht="16.5" x14ac:dyDescent="0.25">
      <c r="A63" s="63"/>
      <c r="B63" s="63"/>
      <c r="C63" s="59" t="s">
        <v>143</v>
      </c>
      <c r="D63" s="59"/>
      <c r="E63" s="58" t="s">
        <v>100</v>
      </c>
      <c r="F63" s="58"/>
      <c r="G63" s="18">
        <v>4</v>
      </c>
      <c r="H63" s="18">
        <v>2</v>
      </c>
      <c r="I63" s="18">
        <v>2</v>
      </c>
      <c r="J63" s="18">
        <v>2</v>
      </c>
      <c r="K63" s="18">
        <v>2</v>
      </c>
      <c r="L63" s="18">
        <v>2</v>
      </c>
      <c r="M63" s="18">
        <v>2</v>
      </c>
      <c r="N63" s="18">
        <v>2</v>
      </c>
      <c r="O63" s="18">
        <v>2</v>
      </c>
      <c r="P63" s="18">
        <v>2</v>
      </c>
      <c r="Q63" s="18">
        <v>2</v>
      </c>
      <c r="R63" s="18">
        <v>2</v>
      </c>
      <c r="S63" s="18">
        <v>2</v>
      </c>
      <c r="T63" s="18">
        <v>2</v>
      </c>
      <c r="U63" s="18">
        <v>2</v>
      </c>
      <c r="V63" s="19">
        <v>0</v>
      </c>
      <c r="W63" s="18">
        <v>0</v>
      </c>
      <c r="X63" s="18">
        <v>0</v>
      </c>
    </row>
    <row r="64" spans="1:24" ht="16.5" x14ac:dyDescent="0.25">
      <c r="A64" s="63"/>
      <c r="B64" s="63"/>
      <c r="C64" s="59"/>
      <c r="D64" s="59"/>
      <c r="E64" s="58"/>
      <c r="F64" s="5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21">
        <v>2</v>
      </c>
      <c r="W64" s="18"/>
      <c r="X64" s="18"/>
    </row>
    <row r="65" spans="1:24" ht="16.5" x14ac:dyDescent="0.25">
      <c r="A65" s="63"/>
      <c r="B65" s="63" t="s">
        <v>18</v>
      </c>
      <c r="C65" s="59" t="s">
        <v>144</v>
      </c>
      <c r="D65" s="59"/>
      <c r="E65" s="58" t="s">
        <v>99</v>
      </c>
      <c r="F65" s="58"/>
      <c r="G65" s="18">
        <v>2</v>
      </c>
      <c r="H65" s="18">
        <v>2</v>
      </c>
      <c r="I65" s="18">
        <v>2</v>
      </c>
      <c r="J65" s="18">
        <v>2</v>
      </c>
      <c r="K65" s="18">
        <v>2</v>
      </c>
      <c r="L65" s="18">
        <v>2</v>
      </c>
      <c r="M65" s="18">
        <v>2</v>
      </c>
      <c r="N65" s="18">
        <v>2</v>
      </c>
      <c r="O65" s="18">
        <v>2</v>
      </c>
      <c r="P65" s="18">
        <v>2</v>
      </c>
      <c r="Q65" s="18">
        <v>2</v>
      </c>
      <c r="R65" s="18">
        <v>2</v>
      </c>
      <c r="S65" s="18">
        <v>2</v>
      </c>
      <c r="T65" s="18">
        <v>2</v>
      </c>
      <c r="U65" s="18">
        <v>2</v>
      </c>
      <c r="V65" s="18">
        <v>2</v>
      </c>
      <c r="W65" s="19">
        <v>0</v>
      </c>
      <c r="X65" s="18">
        <v>0</v>
      </c>
    </row>
    <row r="66" spans="1:24" ht="16.5" x14ac:dyDescent="0.25">
      <c r="A66" s="63"/>
      <c r="B66" s="63"/>
      <c r="C66" s="59" t="s">
        <v>145</v>
      </c>
      <c r="D66" s="59"/>
      <c r="E66" s="58" t="s">
        <v>99</v>
      </c>
      <c r="F66" s="58"/>
      <c r="G66" s="18">
        <v>2</v>
      </c>
      <c r="H66" s="18">
        <v>2</v>
      </c>
      <c r="I66" s="18">
        <v>2</v>
      </c>
      <c r="J66" s="18">
        <v>2</v>
      </c>
      <c r="K66" s="18">
        <v>2</v>
      </c>
      <c r="L66" s="18">
        <v>2</v>
      </c>
      <c r="M66" s="18">
        <v>2</v>
      </c>
      <c r="N66" s="18">
        <v>2</v>
      </c>
      <c r="O66" s="18">
        <v>2</v>
      </c>
      <c r="P66" s="18">
        <v>2</v>
      </c>
      <c r="Q66" s="18">
        <v>2</v>
      </c>
      <c r="R66" s="18">
        <v>2</v>
      </c>
      <c r="S66" s="18">
        <v>2</v>
      </c>
      <c r="T66" s="18">
        <v>2</v>
      </c>
      <c r="U66" s="18">
        <v>2</v>
      </c>
      <c r="V66" s="18">
        <v>2</v>
      </c>
      <c r="W66" s="19">
        <v>0</v>
      </c>
      <c r="X66" s="18">
        <v>0</v>
      </c>
    </row>
    <row r="67" spans="1:24" ht="16.5" x14ac:dyDescent="0.25">
      <c r="A67" s="63"/>
      <c r="B67" s="63"/>
      <c r="C67" s="59" t="s">
        <v>146</v>
      </c>
      <c r="D67" s="59"/>
      <c r="E67" s="58" t="s">
        <v>97</v>
      </c>
      <c r="F67" s="58"/>
      <c r="G67" s="18">
        <v>1</v>
      </c>
      <c r="H67" s="18">
        <v>2</v>
      </c>
      <c r="I67" s="18">
        <v>2</v>
      </c>
      <c r="J67" s="18">
        <v>2</v>
      </c>
      <c r="K67" s="18">
        <v>2</v>
      </c>
      <c r="L67" s="18">
        <v>2</v>
      </c>
      <c r="M67" s="18">
        <v>2</v>
      </c>
      <c r="N67" s="18">
        <v>2</v>
      </c>
      <c r="O67" s="18">
        <v>2</v>
      </c>
      <c r="P67" s="18">
        <v>2</v>
      </c>
      <c r="Q67" s="18">
        <v>2</v>
      </c>
      <c r="R67" s="18">
        <v>2</v>
      </c>
      <c r="S67" s="18">
        <v>2</v>
      </c>
      <c r="T67" s="18">
        <v>2</v>
      </c>
      <c r="U67" s="18">
        <v>2</v>
      </c>
      <c r="V67" s="18">
        <v>2</v>
      </c>
      <c r="W67" s="19">
        <v>0</v>
      </c>
      <c r="X67" s="18">
        <v>0</v>
      </c>
    </row>
    <row r="68" spans="1:24" ht="16.5" x14ac:dyDescent="0.25">
      <c r="A68" s="63"/>
      <c r="B68" s="63"/>
      <c r="C68" s="59"/>
      <c r="D68" s="59"/>
      <c r="E68" s="58"/>
      <c r="F68" s="5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20">
        <v>-1</v>
      </c>
      <c r="X68" s="18"/>
    </row>
    <row r="69" spans="1:24" ht="16.5" x14ac:dyDescent="0.25">
      <c r="A69" s="63"/>
      <c r="B69" s="63"/>
      <c r="C69" s="59" t="s">
        <v>147</v>
      </c>
      <c r="D69" s="59"/>
      <c r="E69" s="58" t="s">
        <v>100</v>
      </c>
      <c r="F69" s="58"/>
      <c r="G69" s="18">
        <v>2</v>
      </c>
      <c r="H69" s="18">
        <v>2</v>
      </c>
      <c r="I69" s="18">
        <v>2</v>
      </c>
      <c r="J69" s="18">
        <v>2</v>
      </c>
      <c r="K69" s="18">
        <v>2</v>
      </c>
      <c r="L69" s="18">
        <v>2</v>
      </c>
      <c r="M69" s="18">
        <v>2</v>
      </c>
      <c r="N69" s="18">
        <v>2</v>
      </c>
      <c r="O69" s="18">
        <v>2</v>
      </c>
      <c r="P69" s="18">
        <v>2</v>
      </c>
      <c r="Q69" s="18">
        <v>2</v>
      </c>
      <c r="R69" s="18">
        <v>2</v>
      </c>
      <c r="S69" s="18">
        <v>2</v>
      </c>
      <c r="T69" s="18">
        <v>2</v>
      </c>
      <c r="U69" s="18">
        <v>2</v>
      </c>
      <c r="V69" s="18">
        <v>2</v>
      </c>
      <c r="W69" s="19">
        <v>0</v>
      </c>
      <c r="X69" s="18">
        <v>0</v>
      </c>
    </row>
    <row r="70" spans="1:24" ht="16.5" x14ac:dyDescent="0.25">
      <c r="A70" s="63"/>
      <c r="B70" s="63"/>
      <c r="C70" s="59" t="s">
        <v>148</v>
      </c>
      <c r="D70" s="59"/>
      <c r="E70" s="58" t="s">
        <v>101</v>
      </c>
      <c r="F70" s="58"/>
      <c r="G70" s="18">
        <v>4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9">
        <v>0</v>
      </c>
      <c r="X70" s="18">
        <v>0</v>
      </c>
    </row>
    <row r="71" spans="1:24" ht="16.5" x14ac:dyDescent="0.25">
      <c r="A71" s="63"/>
      <c r="B71" s="63"/>
      <c r="C71" s="59"/>
      <c r="D71" s="59"/>
      <c r="E71" s="58"/>
      <c r="F71" s="5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21">
        <v>2</v>
      </c>
      <c r="X71" s="18"/>
    </row>
    <row r="72" spans="1:24" ht="16.5" x14ac:dyDescent="0.25">
      <c r="A72" s="63"/>
      <c r="B72" s="63"/>
      <c r="C72" s="59" t="s">
        <v>149</v>
      </c>
      <c r="D72" s="59"/>
      <c r="E72" s="58" t="s">
        <v>98</v>
      </c>
      <c r="F72" s="58"/>
      <c r="G72" s="18">
        <v>2</v>
      </c>
      <c r="H72" s="18">
        <v>2</v>
      </c>
      <c r="I72" s="18">
        <v>2</v>
      </c>
      <c r="J72" s="18">
        <v>2</v>
      </c>
      <c r="K72" s="18">
        <v>2</v>
      </c>
      <c r="L72" s="18">
        <v>2</v>
      </c>
      <c r="M72" s="18">
        <v>2</v>
      </c>
      <c r="N72" s="18">
        <v>2</v>
      </c>
      <c r="O72" s="18">
        <v>2</v>
      </c>
      <c r="P72" s="18">
        <v>2</v>
      </c>
      <c r="Q72" s="18">
        <v>2</v>
      </c>
      <c r="R72" s="18">
        <v>2</v>
      </c>
      <c r="S72" s="18">
        <v>2</v>
      </c>
      <c r="T72" s="18">
        <v>2</v>
      </c>
      <c r="U72" s="18">
        <v>2</v>
      </c>
      <c r="V72" s="18">
        <v>2</v>
      </c>
      <c r="W72" s="19">
        <v>0</v>
      </c>
      <c r="X72" s="18">
        <v>0</v>
      </c>
    </row>
    <row r="73" spans="1:24" ht="16.5" x14ac:dyDescent="0.25">
      <c r="A73" s="63"/>
      <c r="B73" s="63"/>
      <c r="C73" s="59" t="s">
        <v>150</v>
      </c>
      <c r="D73" s="59"/>
      <c r="E73" s="38" t="s">
        <v>158</v>
      </c>
      <c r="F73" s="39"/>
      <c r="G73" s="18">
        <v>2</v>
      </c>
      <c r="H73" s="18">
        <v>2</v>
      </c>
      <c r="I73" s="18">
        <v>2</v>
      </c>
      <c r="J73" s="18">
        <v>2</v>
      </c>
      <c r="K73" s="18">
        <v>2</v>
      </c>
      <c r="L73" s="18">
        <v>2</v>
      </c>
      <c r="M73" s="18">
        <v>2</v>
      </c>
      <c r="N73" s="18">
        <v>2</v>
      </c>
      <c r="O73" s="18">
        <v>2</v>
      </c>
      <c r="P73" s="18">
        <v>2</v>
      </c>
      <c r="Q73" s="18">
        <v>2</v>
      </c>
      <c r="R73" s="18">
        <v>2</v>
      </c>
      <c r="S73" s="18">
        <v>2</v>
      </c>
      <c r="T73" s="18">
        <v>2</v>
      </c>
      <c r="U73" s="18">
        <v>2</v>
      </c>
      <c r="V73" s="18">
        <v>2</v>
      </c>
      <c r="W73" s="19">
        <v>0</v>
      </c>
      <c r="X73" s="18">
        <v>0</v>
      </c>
    </row>
    <row r="74" spans="1:24" ht="16.5" x14ac:dyDescent="0.25">
      <c r="A74" s="63"/>
      <c r="B74" s="63" t="s">
        <v>25</v>
      </c>
      <c r="C74" s="59" t="s">
        <v>151</v>
      </c>
      <c r="D74" s="59"/>
      <c r="E74" s="60" t="s">
        <v>100</v>
      </c>
      <c r="F74" s="60"/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9">
        <v>0</v>
      </c>
    </row>
    <row r="75" spans="1:24" ht="16.5" x14ac:dyDescent="0.25">
      <c r="A75" s="63"/>
      <c r="B75" s="63"/>
      <c r="C75" s="59" t="s">
        <v>152</v>
      </c>
      <c r="D75" s="59"/>
      <c r="E75" s="60" t="s">
        <v>100</v>
      </c>
      <c r="F75" s="60"/>
      <c r="G75" s="18">
        <v>1</v>
      </c>
      <c r="H75" s="18">
        <v>1</v>
      </c>
      <c r="I75" s="18">
        <v>1</v>
      </c>
      <c r="J75" s="18">
        <v>1</v>
      </c>
      <c r="K75" s="18">
        <v>1</v>
      </c>
      <c r="L75" s="18">
        <v>1</v>
      </c>
      <c r="M75" s="18">
        <v>1</v>
      </c>
      <c r="N75" s="18">
        <v>1</v>
      </c>
      <c r="O75" s="18">
        <v>1</v>
      </c>
      <c r="P75" s="18">
        <v>1</v>
      </c>
      <c r="Q75" s="18">
        <v>1</v>
      </c>
      <c r="R75" s="18">
        <v>1</v>
      </c>
      <c r="S75" s="18">
        <v>1</v>
      </c>
      <c r="T75" s="18">
        <v>1</v>
      </c>
      <c r="U75" s="18">
        <v>1</v>
      </c>
      <c r="V75" s="18">
        <v>1</v>
      </c>
      <c r="W75" s="18">
        <v>1</v>
      </c>
      <c r="X75" s="19">
        <v>0</v>
      </c>
    </row>
    <row r="76" spans="1:24" ht="16.5" x14ac:dyDescent="0.25">
      <c r="A76" s="63"/>
      <c r="B76" s="63"/>
      <c r="C76" s="59" t="s">
        <v>153</v>
      </c>
      <c r="D76" s="59"/>
      <c r="E76" s="60" t="s">
        <v>100</v>
      </c>
      <c r="F76" s="60"/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9">
        <v>0</v>
      </c>
    </row>
    <row r="77" spans="1:24" ht="16.5" x14ac:dyDescent="0.25">
      <c r="A77" s="63"/>
      <c r="B77" s="63"/>
      <c r="C77" s="59" t="s">
        <v>154</v>
      </c>
      <c r="D77" s="59"/>
      <c r="E77" s="60" t="s">
        <v>100</v>
      </c>
      <c r="F77" s="60"/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  <c r="M77" s="18">
        <v>1</v>
      </c>
      <c r="N77" s="18">
        <v>1</v>
      </c>
      <c r="O77" s="18">
        <v>1</v>
      </c>
      <c r="P77" s="18">
        <v>1</v>
      </c>
      <c r="Q77" s="18">
        <v>1</v>
      </c>
      <c r="R77" s="18">
        <v>1</v>
      </c>
      <c r="S77" s="18">
        <v>1</v>
      </c>
      <c r="T77" s="18">
        <v>1</v>
      </c>
      <c r="U77" s="18">
        <v>1</v>
      </c>
      <c r="V77" s="18">
        <v>1</v>
      </c>
      <c r="W77" s="18">
        <v>1</v>
      </c>
      <c r="X77" s="19">
        <v>0</v>
      </c>
    </row>
    <row r="78" spans="1:24" ht="16.5" x14ac:dyDescent="0.25">
      <c r="A78" s="63"/>
      <c r="B78" s="63"/>
      <c r="C78" s="59" t="s">
        <v>155</v>
      </c>
      <c r="D78" s="59"/>
      <c r="E78" s="60" t="s">
        <v>100</v>
      </c>
      <c r="F78" s="60"/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9">
        <v>0</v>
      </c>
    </row>
    <row r="79" spans="1:24" ht="16.5" x14ac:dyDescent="0.25">
      <c r="A79" s="63"/>
      <c r="B79" s="63"/>
      <c r="C79" s="59" t="s">
        <v>156</v>
      </c>
      <c r="D79" s="59"/>
      <c r="E79" s="60" t="s">
        <v>100</v>
      </c>
      <c r="F79" s="60"/>
      <c r="G79" s="18">
        <v>1</v>
      </c>
      <c r="H79" s="18">
        <v>1</v>
      </c>
      <c r="I79" s="18">
        <v>1</v>
      </c>
      <c r="J79" s="18">
        <v>1</v>
      </c>
      <c r="K79" s="18">
        <v>1</v>
      </c>
      <c r="L79" s="18">
        <v>1</v>
      </c>
      <c r="M79" s="18">
        <v>1</v>
      </c>
      <c r="N79" s="18">
        <v>1</v>
      </c>
      <c r="O79" s="18">
        <v>1</v>
      </c>
      <c r="P79" s="18">
        <v>1</v>
      </c>
      <c r="Q79" s="18">
        <v>1</v>
      </c>
      <c r="R79" s="18">
        <v>1</v>
      </c>
      <c r="S79" s="18">
        <v>1</v>
      </c>
      <c r="T79" s="18">
        <v>1</v>
      </c>
      <c r="U79" s="18">
        <v>1</v>
      </c>
      <c r="V79" s="18">
        <v>1</v>
      </c>
      <c r="W79" s="18">
        <v>1</v>
      </c>
      <c r="X79" s="19">
        <v>0</v>
      </c>
    </row>
    <row r="80" spans="1:24" ht="16.5" x14ac:dyDescent="0.25">
      <c r="A80" s="63"/>
      <c r="B80" s="63"/>
      <c r="C80" s="59" t="s">
        <v>157</v>
      </c>
      <c r="D80" s="59"/>
      <c r="E80" s="60" t="s">
        <v>100</v>
      </c>
      <c r="F80" s="60"/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9">
        <v>0</v>
      </c>
    </row>
    <row r="81" spans="1:24" ht="16.5" x14ac:dyDescent="0.25">
      <c r="A81" s="63"/>
      <c r="B81" s="63" t="s">
        <v>24</v>
      </c>
      <c r="C81" s="59" t="s">
        <v>103</v>
      </c>
      <c r="D81" s="59"/>
      <c r="E81" s="58" t="s">
        <v>26</v>
      </c>
      <c r="F81" s="58"/>
      <c r="G81" s="18">
        <v>1</v>
      </c>
      <c r="H81" s="18">
        <v>2</v>
      </c>
      <c r="I81" s="18">
        <v>2</v>
      </c>
      <c r="J81" s="18">
        <v>2</v>
      </c>
      <c r="K81" s="18">
        <v>2</v>
      </c>
      <c r="L81" s="18">
        <v>2</v>
      </c>
      <c r="M81" s="18">
        <v>2</v>
      </c>
      <c r="N81" s="18">
        <v>2</v>
      </c>
      <c r="O81" s="18">
        <v>2</v>
      </c>
      <c r="P81" s="18">
        <v>2</v>
      </c>
      <c r="Q81" s="18">
        <v>2</v>
      </c>
      <c r="R81" s="18">
        <v>2</v>
      </c>
      <c r="S81" s="18">
        <v>2</v>
      </c>
      <c r="T81" s="18">
        <v>2</v>
      </c>
      <c r="U81" s="18">
        <v>2</v>
      </c>
      <c r="V81" s="18">
        <v>2</v>
      </c>
      <c r="W81" s="18">
        <v>2</v>
      </c>
      <c r="X81" s="19">
        <v>0</v>
      </c>
    </row>
    <row r="82" spans="1:24" ht="16.5" x14ac:dyDescent="0.25">
      <c r="A82" s="63"/>
      <c r="B82" s="63"/>
      <c r="C82" s="59"/>
      <c r="D82" s="59"/>
      <c r="E82" s="58"/>
      <c r="F82" s="5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0">
        <v>-1</v>
      </c>
    </row>
    <row r="83" spans="1:24" ht="16.5" x14ac:dyDescent="0.25">
      <c r="A83" s="63"/>
      <c r="B83" s="63"/>
      <c r="C83" s="59" t="s">
        <v>108</v>
      </c>
      <c r="D83" s="59"/>
      <c r="E83" s="58" t="s">
        <v>26</v>
      </c>
      <c r="F83" s="58"/>
      <c r="G83" s="18">
        <v>1</v>
      </c>
      <c r="H83" s="18">
        <v>2</v>
      </c>
      <c r="I83" s="18">
        <v>2</v>
      </c>
      <c r="J83" s="18">
        <v>2</v>
      </c>
      <c r="K83" s="18">
        <v>2</v>
      </c>
      <c r="L83" s="18">
        <v>2</v>
      </c>
      <c r="M83" s="18">
        <v>2</v>
      </c>
      <c r="N83" s="18">
        <v>2</v>
      </c>
      <c r="O83" s="18">
        <v>2</v>
      </c>
      <c r="P83" s="18">
        <v>2</v>
      </c>
      <c r="Q83" s="18">
        <v>2</v>
      </c>
      <c r="R83" s="18">
        <v>2</v>
      </c>
      <c r="S83" s="18">
        <v>2</v>
      </c>
      <c r="T83" s="18">
        <v>2</v>
      </c>
      <c r="U83" s="18">
        <v>2</v>
      </c>
      <c r="V83" s="18">
        <v>2</v>
      </c>
      <c r="W83" s="18">
        <v>2</v>
      </c>
      <c r="X83" s="19">
        <v>0</v>
      </c>
    </row>
    <row r="84" spans="1:24" ht="16.5" x14ac:dyDescent="0.25">
      <c r="A84" s="63"/>
      <c r="B84" s="63"/>
      <c r="C84" s="59"/>
      <c r="D84" s="59"/>
      <c r="E84" s="58"/>
      <c r="F84" s="5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0">
        <v>-1</v>
      </c>
    </row>
    <row r="85" spans="1:24" ht="16.5" x14ac:dyDescent="0.25">
      <c r="A85" s="63"/>
      <c r="B85" s="65" t="s">
        <v>12</v>
      </c>
      <c r="C85" s="65"/>
      <c r="D85" s="65"/>
      <c r="E85" s="64" t="s">
        <v>11</v>
      </c>
      <c r="F85" s="64"/>
      <c r="G85" s="58">
        <f>SUM(G14:G84)</f>
        <v>172</v>
      </c>
      <c r="H85" s="58"/>
      <c r="I85" s="18">
        <f t="shared" ref="I85:X85" si="0">SUM(I14:I84)</f>
        <v>159</v>
      </c>
      <c r="J85" s="18">
        <f t="shared" si="0"/>
        <v>155</v>
      </c>
      <c r="K85" s="18">
        <f t="shared" si="0"/>
        <v>147</v>
      </c>
      <c r="L85" s="18">
        <f t="shared" si="0"/>
        <v>139</v>
      </c>
      <c r="M85" s="18">
        <f t="shared" si="0"/>
        <v>137</v>
      </c>
      <c r="N85" s="18">
        <f t="shared" si="0"/>
        <v>124</v>
      </c>
      <c r="O85" s="18">
        <f t="shared" si="0"/>
        <v>115</v>
      </c>
      <c r="P85" s="18">
        <f t="shared" si="0"/>
        <v>103</v>
      </c>
      <c r="Q85" s="18">
        <f t="shared" si="0"/>
        <v>93</v>
      </c>
      <c r="R85" s="18">
        <f t="shared" si="0"/>
        <v>86</v>
      </c>
      <c r="S85" s="18">
        <f t="shared" si="0"/>
        <v>71</v>
      </c>
      <c r="T85" s="18">
        <f t="shared" si="0"/>
        <v>62</v>
      </c>
      <c r="U85" s="18">
        <f t="shared" si="0"/>
        <v>46</v>
      </c>
      <c r="V85" s="18">
        <f t="shared" si="0"/>
        <v>30</v>
      </c>
      <c r="W85" s="18">
        <f t="shared" si="0"/>
        <v>14</v>
      </c>
      <c r="X85" s="18">
        <f t="shared" si="0"/>
        <v>-2</v>
      </c>
    </row>
    <row r="86" spans="1:24" ht="16.5" x14ac:dyDescent="0.25">
      <c r="A86" s="63"/>
      <c r="B86" s="65"/>
      <c r="C86" s="65"/>
      <c r="D86" s="65"/>
      <c r="E86" s="64" t="s">
        <v>27</v>
      </c>
      <c r="F86" s="64"/>
      <c r="G86" s="58">
        <f>SUM(H14:H84)</f>
        <v>169</v>
      </c>
      <c r="H86" s="58"/>
      <c r="I86" s="18">
        <f>SUM(I14:I84)+2</f>
        <v>161</v>
      </c>
      <c r="J86" s="18">
        <f>SUM(J14:J84)</f>
        <v>155</v>
      </c>
      <c r="K86" s="18">
        <f>SUM(K14:K84)</f>
        <v>147</v>
      </c>
      <c r="L86" s="18">
        <f>SUM(L14:L84)</f>
        <v>139</v>
      </c>
      <c r="M86" s="18">
        <f>SUM(M14:M84)-4</f>
        <v>133</v>
      </c>
      <c r="N86" s="18">
        <f>SUM(N14:N84)+1</f>
        <v>125</v>
      </c>
      <c r="O86" s="18">
        <f>SUM(O14:O84)</f>
        <v>115</v>
      </c>
      <c r="P86" s="18">
        <f>SUM(P14:P84)+2</f>
        <v>105</v>
      </c>
      <c r="Q86" s="18">
        <f>SUM(Q14:Q84)</f>
        <v>93</v>
      </c>
      <c r="R86" s="18">
        <f>SUM(R14:R84)-3</f>
        <v>83</v>
      </c>
      <c r="S86" s="18">
        <f>SUM(S14:S84)</f>
        <v>71</v>
      </c>
      <c r="T86" s="18">
        <f>SUM(T14:T84)</f>
        <v>62</v>
      </c>
      <c r="U86" s="18">
        <f>SUM(U14:U84)-1</f>
        <v>45</v>
      </c>
      <c r="V86" s="18">
        <f>SUM(V14:V84)-1</f>
        <v>29</v>
      </c>
      <c r="W86" s="18">
        <f>SUM(W14:W84)-1</f>
        <v>13</v>
      </c>
      <c r="X86" s="18">
        <f>SUM(X14:X84)+2</f>
        <v>0</v>
      </c>
    </row>
    <row r="107" spans="3:4" x14ac:dyDescent="0.25">
      <c r="C107" s="67"/>
      <c r="D107" s="67"/>
    </row>
  </sheetData>
  <mergeCells count="163">
    <mergeCell ref="E30:F30"/>
    <mergeCell ref="B27:B35"/>
    <mergeCell ref="C37:D37"/>
    <mergeCell ref="E37:F37"/>
    <mergeCell ref="E25:F25"/>
    <mergeCell ref="C26:D26"/>
    <mergeCell ref="E26:F26"/>
    <mergeCell ref="C35:D35"/>
    <mergeCell ref="E35:F35"/>
    <mergeCell ref="C32:D32"/>
    <mergeCell ref="E32:F32"/>
    <mergeCell ref="C30:D30"/>
    <mergeCell ref="C29:D29"/>
    <mergeCell ref="E31:F31"/>
    <mergeCell ref="C31:D31"/>
    <mergeCell ref="C33:D33"/>
    <mergeCell ref="E40:F40"/>
    <mergeCell ref="E41:F41"/>
    <mergeCell ref="E43:F43"/>
    <mergeCell ref="E44:F44"/>
    <mergeCell ref="C58:D58"/>
    <mergeCell ref="E51:F51"/>
    <mergeCell ref="G85:H85"/>
    <mergeCell ref="G86:H86"/>
    <mergeCell ref="C64:D64"/>
    <mergeCell ref="C65:D65"/>
    <mergeCell ref="E64:F64"/>
    <mergeCell ref="C63:D63"/>
    <mergeCell ref="E63:F63"/>
    <mergeCell ref="E61:F61"/>
    <mergeCell ref="C73:D73"/>
    <mergeCell ref="E73:F73"/>
    <mergeCell ref="C79:D79"/>
    <mergeCell ref="C71:D71"/>
    <mergeCell ref="E58:F58"/>
    <mergeCell ref="C67:D67"/>
    <mergeCell ref="E67:F67"/>
    <mergeCell ref="C36:D36"/>
    <mergeCell ref="C38:D38"/>
    <mergeCell ref="C107:D107"/>
    <mergeCell ref="C49:D49"/>
    <mergeCell ref="C50:D50"/>
    <mergeCell ref="C56:D56"/>
    <mergeCell ref="C41:D41"/>
    <mergeCell ref="C40:D40"/>
    <mergeCell ref="C80:D80"/>
    <mergeCell ref="C53:D53"/>
    <mergeCell ref="C60:D60"/>
    <mergeCell ref="E53:F53"/>
    <mergeCell ref="C55:D55"/>
    <mergeCell ref="C48:D48"/>
    <mergeCell ref="C43:D43"/>
    <mergeCell ref="C44:D44"/>
    <mergeCell ref="C45:D45"/>
    <mergeCell ref="C46:D46"/>
    <mergeCell ref="C47:D47"/>
    <mergeCell ref="E48:F48"/>
    <mergeCell ref="E55:F55"/>
    <mergeCell ref="E46:F46"/>
    <mergeCell ref="E47:F47"/>
    <mergeCell ref="E49:F49"/>
    <mergeCell ref="E50:F50"/>
    <mergeCell ref="C23:D23"/>
    <mergeCell ref="C24:D24"/>
    <mergeCell ref="B36:B55"/>
    <mergeCell ref="B81:B84"/>
    <mergeCell ref="C77:D77"/>
    <mergeCell ref="C78:D78"/>
    <mergeCell ref="C81:D81"/>
    <mergeCell ref="C84:D84"/>
    <mergeCell ref="C70:D70"/>
    <mergeCell ref="C72:D72"/>
    <mergeCell ref="C74:D74"/>
    <mergeCell ref="B74:B80"/>
    <mergeCell ref="B65:B73"/>
    <mergeCell ref="B56:B64"/>
    <mergeCell ref="C75:D75"/>
    <mergeCell ref="C76:D76"/>
    <mergeCell ref="C62:D62"/>
    <mergeCell ref="C27:D27"/>
    <mergeCell ref="C51:D51"/>
    <mergeCell ref="C57:D57"/>
    <mergeCell ref="C59:D59"/>
    <mergeCell ref="C61:D61"/>
    <mergeCell ref="C25:D25"/>
    <mergeCell ref="C39:D39"/>
    <mergeCell ref="C13:D13"/>
    <mergeCell ref="E13:F13"/>
    <mergeCell ref="B14:D14"/>
    <mergeCell ref="B16:D16"/>
    <mergeCell ref="B18:D18"/>
    <mergeCell ref="C19:D19"/>
    <mergeCell ref="E20:F20"/>
    <mergeCell ref="E21:F21"/>
    <mergeCell ref="E22:F22"/>
    <mergeCell ref="C20:D20"/>
    <mergeCell ref="C21:D21"/>
    <mergeCell ref="C22:D22"/>
    <mergeCell ref="B17:D17"/>
    <mergeCell ref="E17:F17"/>
    <mergeCell ref="A1:B1"/>
    <mergeCell ref="A2:B2"/>
    <mergeCell ref="A3:B3"/>
    <mergeCell ref="B4:E4"/>
    <mergeCell ref="A14:A86"/>
    <mergeCell ref="E85:F85"/>
    <mergeCell ref="E86:F86"/>
    <mergeCell ref="C66:D66"/>
    <mergeCell ref="C69:D69"/>
    <mergeCell ref="E33:F33"/>
    <mergeCell ref="E39:F39"/>
    <mergeCell ref="E36:F36"/>
    <mergeCell ref="E38:F38"/>
    <mergeCell ref="E34:F34"/>
    <mergeCell ref="E27:F27"/>
    <mergeCell ref="E28:F28"/>
    <mergeCell ref="E29:F29"/>
    <mergeCell ref="E62:F62"/>
    <mergeCell ref="E45:F45"/>
    <mergeCell ref="B85:D86"/>
    <mergeCell ref="B19:B26"/>
    <mergeCell ref="C28:D28"/>
    <mergeCell ref="B11:C11"/>
    <mergeCell ref="E14:F14"/>
    <mergeCell ref="E84:F84"/>
    <mergeCell ref="E81:F81"/>
    <mergeCell ref="E72:F72"/>
    <mergeCell ref="E74:F74"/>
    <mergeCell ref="E75:F75"/>
    <mergeCell ref="E76:F76"/>
    <mergeCell ref="E66:F66"/>
    <mergeCell ref="E65:F65"/>
    <mergeCell ref="E69:F69"/>
    <mergeCell ref="E70:F70"/>
    <mergeCell ref="E77:F77"/>
    <mergeCell ref="E78:F78"/>
    <mergeCell ref="E79:F79"/>
    <mergeCell ref="E71:F71"/>
    <mergeCell ref="E80:F80"/>
    <mergeCell ref="E60:F60"/>
    <mergeCell ref="C82:D82"/>
    <mergeCell ref="E82:F82"/>
    <mergeCell ref="C68:D68"/>
    <mergeCell ref="E68:F68"/>
    <mergeCell ref="B15:D15"/>
    <mergeCell ref="E15:F15"/>
    <mergeCell ref="C83:D83"/>
    <mergeCell ref="E83:F83"/>
    <mergeCell ref="C34:D34"/>
    <mergeCell ref="C42:D42"/>
    <mergeCell ref="E42:F42"/>
    <mergeCell ref="C54:D54"/>
    <mergeCell ref="E54:F54"/>
    <mergeCell ref="C52:D52"/>
    <mergeCell ref="E52:F52"/>
    <mergeCell ref="E16:F16"/>
    <mergeCell ref="E18:F18"/>
    <mergeCell ref="E19:F19"/>
    <mergeCell ref="E56:F56"/>
    <mergeCell ref="E57:F57"/>
    <mergeCell ref="E59:F59"/>
    <mergeCell ref="E23:F23"/>
    <mergeCell ref="E24:F24"/>
  </mergeCells>
  <phoneticPr fontId="4" type="noConversion"/>
  <pageMargins left="1.2" right="0.2" top="0.25" bottom="0.25" header="0.3" footer="0.3"/>
  <pageSetup paperSize="8" scale="8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8"/>
  <sheetViews>
    <sheetView tabSelected="1" view="pageBreakPreview" topLeftCell="A42" zoomScale="60" zoomScaleNormal="70" workbookViewId="0">
      <selection activeCell="AB61" sqref="AB61"/>
    </sheetView>
  </sheetViews>
  <sheetFormatPr defaultColWidth="9.140625" defaultRowHeight="16.5" x14ac:dyDescent="0.25"/>
  <cols>
    <col min="1" max="1" width="19.5703125" style="1" customWidth="1"/>
    <col min="2" max="2" width="19" style="1" customWidth="1"/>
    <col min="3" max="3" width="54.7109375" style="1" customWidth="1"/>
    <col min="4" max="4" width="11.5703125" style="1" customWidth="1"/>
    <col min="5" max="5" width="9.5703125" style="1" customWidth="1"/>
    <col min="6" max="6" width="19.28515625" style="1" customWidth="1"/>
    <col min="7" max="7" width="6" style="1" customWidth="1"/>
    <col min="8" max="8" width="6.140625" style="1" customWidth="1"/>
    <col min="9" max="12" width="6" style="1" customWidth="1"/>
    <col min="13" max="13" width="6.140625" style="1" customWidth="1"/>
    <col min="14" max="17" width="6" style="1" customWidth="1"/>
    <col min="18" max="18" width="6.140625" style="1" customWidth="1"/>
    <col min="19" max="21" width="6" style="1" customWidth="1"/>
    <col min="22" max="24" width="6.140625" style="1" customWidth="1"/>
    <col min="25" max="25" width="6" style="1" customWidth="1"/>
    <col min="26" max="16384" width="9.140625" style="1"/>
  </cols>
  <sheetData>
    <row r="1" spans="1:25" ht="33.75" thickBot="1" x14ac:dyDescent="0.3">
      <c r="A1" s="68" t="s">
        <v>3</v>
      </c>
      <c r="B1" s="69"/>
      <c r="C1" s="33" t="s">
        <v>162</v>
      </c>
      <c r="E1" s="9"/>
      <c r="F1" s="10" t="s">
        <v>33</v>
      </c>
    </row>
    <row r="2" spans="1:25" ht="17.25" thickBot="1" x14ac:dyDescent="0.3">
      <c r="A2" s="68" t="s">
        <v>1</v>
      </c>
      <c r="B2" s="69"/>
      <c r="C2" s="4">
        <v>46135</v>
      </c>
      <c r="E2" s="12"/>
      <c r="F2" s="11" t="s">
        <v>32</v>
      </c>
    </row>
    <row r="3" spans="1:25" ht="18" customHeight="1" thickBot="1" x14ac:dyDescent="0.3">
      <c r="A3" s="68" t="s">
        <v>0</v>
      </c>
      <c r="B3" s="69"/>
      <c r="C3" s="4">
        <v>46150</v>
      </c>
      <c r="E3" s="13"/>
      <c r="F3" s="14" t="s">
        <v>31</v>
      </c>
    </row>
    <row r="4" spans="1:25" ht="17.25" thickBot="1" x14ac:dyDescent="0.3">
      <c r="B4" s="54" t="s">
        <v>22</v>
      </c>
      <c r="C4" s="54"/>
      <c r="D4" s="54"/>
      <c r="E4" s="70"/>
    </row>
    <row r="5" spans="1:25" ht="17.25" thickBot="1" x14ac:dyDescent="0.3">
      <c r="B5" s="6" t="s">
        <v>6</v>
      </c>
      <c r="C5" s="6" t="s">
        <v>28</v>
      </c>
      <c r="D5" s="6" t="s">
        <v>11</v>
      </c>
      <c r="E5" s="6" t="s">
        <v>27</v>
      </c>
    </row>
    <row r="6" spans="1:25" ht="17.25" thickBot="1" x14ac:dyDescent="0.3">
      <c r="B6" s="8">
        <v>1</v>
      </c>
      <c r="C6" s="3" t="s">
        <v>36</v>
      </c>
      <c r="D6" s="3">
        <v>44</v>
      </c>
      <c r="E6" s="3">
        <v>45</v>
      </c>
    </row>
    <row r="7" spans="1:25" ht="17.25" thickBot="1" x14ac:dyDescent="0.3">
      <c r="B7" s="8">
        <v>2</v>
      </c>
      <c r="C7" s="3" t="s">
        <v>37</v>
      </c>
      <c r="D7" s="3">
        <v>85</v>
      </c>
      <c r="E7" s="3">
        <v>83</v>
      </c>
    </row>
    <row r="8" spans="1:25" ht="17.25" thickBot="1" x14ac:dyDescent="0.3">
      <c r="B8" s="8">
        <v>3</v>
      </c>
      <c r="C8" s="3" t="s">
        <v>38</v>
      </c>
      <c r="D8" s="3">
        <v>21</v>
      </c>
      <c r="E8" s="3">
        <v>22</v>
      </c>
    </row>
    <row r="9" spans="1:25" ht="17.25" thickBot="1" x14ac:dyDescent="0.3">
      <c r="B9" s="8">
        <v>4</v>
      </c>
      <c r="C9" s="3" t="s">
        <v>39</v>
      </c>
      <c r="D9" s="3">
        <v>8</v>
      </c>
      <c r="E9" s="3">
        <v>8</v>
      </c>
    </row>
    <row r="10" spans="1:25" ht="17.25" thickBot="1" x14ac:dyDescent="0.3">
      <c r="B10" s="8">
        <v>5</v>
      </c>
      <c r="C10" s="3" t="s">
        <v>40</v>
      </c>
      <c r="D10" s="3">
        <v>11</v>
      </c>
      <c r="E10" s="3">
        <v>8</v>
      </c>
    </row>
    <row r="11" spans="1:25" ht="17.25" thickBot="1" x14ac:dyDescent="0.3">
      <c r="B11" s="54" t="s">
        <v>12</v>
      </c>
      <c r="C11" s="54"/>
      <c r="D11" s="5">
        <f>SUM(D6:D10)</f>
        <v>169</v>
      </c>
      <c r="E11" s="5">
        <f>SUM(E6:E10)</f>
        <v>166</v>
      </c>
    </row>
    <row r="13" spans="1:25" ht="63.75" customHeight="1" x14ac:dyDescent="0.25">
      <c r="A13" s="15" t="s">
        <v>7</v>
      </c>
      <c r="B13" s="15" t="s">
        <v>8</v>
      </c>
      <c r="C13" s="56" t="s">
        <v>9</v>
      </c>
      <c r="D13" s="57"/>
      <c r="E13" s="56" t="s">
        <v>10</v>
      </c>
      <c r="F13" s="57"/>
      <c r="G13" s="16" t="s">
        <v>11</v>
      </c>
      <c r="H13" s="16" t="s">
        <v>27</v>
      </c>
      <c r="I13" s="17">
        <v>46134</v>
      </c>
      <c r="J13" s="17">
        <v>46135</v>
      </c>
      <c r="K13" s="17">
        <v>46136</v>
      </c>
      <c r="L13" s="17">
        <v>46137</v>
      </c>
      <c r="M13" s="17">
        <v>46138</v>
      </c>
      <c r="N13" s="17">
        <v>46139</v>
      </c>
      <c r="O13" s="17">
        <v>46140</v>
      </c>
      <c r="P13" s="17">
        <v>46141</v>
      </c>
      <c r="Q13" s="17">
        <v>46142</v>
      </c>
      <c r="R13" s="17">
        <v>46143</v>
      </c>
      <c r="S13" s="17">
        <v>46144</v>
      </c>
      <c r="T13" s="17">
        <v>46145</v>
      </c>
      <c r="U13" s="17">
        <v>46146</v>
      </c>
      <c r="V13" s="17">
        <v>46147</v>
      </c>
      <c r="W13" s="17">
        <v>46148</v>
      </c>
      <c r="X13" s="17">
        <v>46149</v>
      </c>
      <c r="Y13" s="17">
        <v>46150</v>
      </c>
    </row>
    <row r="14" spans="1:25" x14ac:dyDescent="0.25">
      <c r="A14" s="46" t="s">
        <v>21</v>
      </c>
      <c r="B14" s="59" t="s">
        <v>159</v>
      </c>
      <c r="C14" s="59"/>
      <c r="D14" s="59"/>
      <c r="E14" s="38" t="s">
        <v>206</v>
      </c>
      <c r="F14" s="39"/>
      <c r="G14" s="18">
        <v>6</v>
      </c>
      <c r="H14" s="18">
        <v>8</v>
      </c>
      <c r="I14" s="18">
        <v>8</v>
      </c>
      <c r="J14" s="19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</row>
    <row r="15" spans="1:25" x14ac:dyDescent="0.25">
      <c r="A15" s="47"/>
      <c r="B15" s="59"/>
      <c r="C15" s="59"/>
      <c r="D15" s="59"/>
      <c r="E15" s="38"/>
      <c r="F15" s="39"/>
      <c r="G15" s="18"/>
      <c r="H15" s="18"/>
      <c r="I15" s="18"/>
      <c r="J15" s="20">
        <v>-2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x14ac:dyDescent="0.25">
      <c r="A16" s="47"/>
      <c r="B16" s="59" t="s">
        <v>106</v>
      </c>
      <c r="C16" s="59"/>
      <c r="D16" s="59"/>
      <c r="E16" s="38" t="s">
        <v>97</v>
      </c>
      <c r="F16" s="39"/>
      <c r="G16" s="18">
        <v>4</v>
      </c>
      <c r="H16" s="18">
        <v>4</v>
      </c>
      <c r="I16" s="18">
        <v>4</v>
      </c>
      <c r="J16" s="18">
        <v>4</v>
      </c>
      <c r="K16" s="18">
        <v>4</v>
      </c>
      <c r="L16" s="18">
        <v>4</v>
      </c>
      <c r="M16" s="18">
        <v>4</v>
      </c>
      <c r="N16" s="18">
        <v>4</v>
      </c>
      <c r="O16" s="18">
        <v>4</v>
      </c>
      <c r="P16" s="18">
        <v>4</v>
      </c>
      <c r="Q16" s="18">
        <v>4</v>
      </c>
      <c r="R16" s="18">
        <v>4</v>
      </c>
      <c r="S16" s="18">
        <v>4</v>
      </c>
      <c r="T16" s="18">
        <v>4</v>
      </c>
      <c r="U16" s="18">
        <v>4</v>
      </c>
      <c r="V16" s="18">
        <v>3</v>
      </c>
      <c r="W16" s="18">
        <v>2</v>
      </c>
      <c r="X16" s="18">
        <v>1</v>
      </c>
      <c r="Y16" s="19">
        <v>0</v>
      </c>
    </row>
    <row r="17" spans="1:25" x14ac:dyDescent="0.25">
      <c r="A17" s="47"/>
      <c r="B17" s="59" t="s">
        <v>160</v>
      </c>
      <c r="C17" s="59"/>
      <c r="D17" s="59"/>
      <c r="E17" s="38" t="s">
        <v>99</v>
      </c>
      <c r="F17" s="39"/>
      <c r="G17" s="18">
        <v>5</v>
      </c>
      <c r="H17" s="18">
        <v>4</v>
      </c>
      <c r="I17" s="18">
        <v>4</v>
      </c>
      <c r="J17" s="18">
        <v>4</v>
      </c>
      <c r="K17" s="18">
        <v>4</v>
      </c>
      <c r="L17" s="18">
        <v>4</v>
      </c>
      <c r="M17" s="18">
        <v>4</v>
      </c>
      <c r="N17" s="18">
        <v>4</v>
      </c>
      <c r="O17" s="18">
        <v>4</v>
      </c>
      <c r="P17" s="18">
        <v>4</v>
      </c>
      <c r="Q17" s="18">
        <v>4</v>
      </c>
      <c r="R17" s="18">
        <v>4</v>
      </c>
      <c r="S17" s="18">
        <v>4</v>
      </c>
      <c r="T17" s="18">
        <v>4</v>
      </c>
      <c r="U17" s="18">
        <v>4</v>
      </c>
      <c r="V17" s="18">
        <v>3</v>
      </c>
      <c r="W17" s="18">
        <v>2</v>
      </c>
      <c r="X17" s="18">
        <v>1</v>
      </c>
      <c r="Y17" s="19">
        <v>0</v>
      </c>
    </row>
    <row r="18" spans="1:25" x14ac:dyDescent="0.25">
      <c r="A18" s="47"/>
      <c r="B18" s="59"/>
      <c r="C18" s="59"/>
      <c r="D18" s="59"/>
      <c r="E18" s="38"/>
      <c r="F18" s="39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1">
        <v>1</v>
      </c>
    </row>
    <row r="19" spans="1:25" x14ac:dyDescent="0.25">
      <c r="A19" s="47"/>
      <c r="B19" s="59" t="s">
        <v>42</v>
      </c>
      <c r="C19" s="59"/>
      <c r="D19" s="59"/>
      <c r="E19" s="38" t="s">
        <v>206</v>
      </c>
      <c r="F19" s="39"/>
      <c r="G19" s="18">
        <v>6</v>
      </c>
      <c r="H19" s="18">
        <v>6</v>
      </c>
      <c r="I19" s="18">
        <v>6</v>
      </c>
      <c r="J19" s="18">
        <v>6</v>
      </c>
      <c r="K19" s="19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</row>
    <row r="20" spans="1:25" ht="17.25" customHeight="1" x14ac:dyDescent="0.25">
      <c r="A20" s="47"/>
      <c r="B20" s="46" t="s">
        <v>14</v>
      </c>
      <c r="C20" s="36" t="s">
        <v>164</v>
      </c>
      <c r="D20" s="37"/>
      <c r="E20" s="38" t="s">
        <v>97</v>
      </c>
      <c r="F20" s="39"/>
      <c r="G20" s="18">
        <v>1</v>
      </c>
      <c r="H20" s="18">
        <v>1</v>
      </c>
      <c r="I20" s="18">
        <v>1</v>
      </c>
      <c r="J20" s="18">
        <v>1</v>
      </c>
      <c r="K20" s="19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</row>
    <row r="21" spans="1:25" x14ac:dyDescent="0.25">
      <c r="A21" s="47"/>
      <c r="B21" s="47"/>
      <c r="C21" s="36" t="s">
        <v>165</v>
      </c>
      <c r="D21" s="37"/>
      <c r="E21" s="38" t="s">
        <v>97</v>
      </c>
      <c r="F21" s="39"/>
      <c r="G21" s="18">
        <v>1</v>
      </c>
      <c r="H21" s="18">
        <v>1</v>
      </c>
      <c r="I21" s="18">
        <v>1</v>
      </c>
      <c r="J21" s="18">
        <v>1</v>
      </c>
      <c r="K21" s="19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</row>
    <row r="22" spans="1:25" x14ac:dyDescent="0.25">
      <c r="A22" s="47"/>
      <c r="B22" s="47"/>
      <c r="C22" s="36" t="s">
        <v>166</v>
      </c>
      <c r="D22" s="37"/>
      <c r="E22" s="38" t="s">
        <v>158</v>
      </c>
      <c r="F22" s="39"/>
      <c r="G22" s="18">
        <v>1</v>
      </c>
      <c r="H22" s="18">
        <v>1</v>
      </c>
      <c r="I22" s="18">
        <v>1</v>
      </c>
      <c r="J22" s="18">
        <v>1</v>
      </c>
      <c r="K22" s="19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</row>
    <row r="23" spans="1:25" x14ac:dyDescent="0.25">
      <c r="A23" s="47"/>
      <c r="B23" s="47"/>
      <c r="C23" s="36" t="s">
        <v>167</v>
      </c>
      <c r="D23" s="37"/>
      <c r="E23" s="38" t="s">
        <v>100</v>
      </c>
      <c r="F23" s="39"/>
      <c r="G23" s="18">
        <v>1</v>
      </c>
      <c r="H23" s="18">
        <v>1</v>
      </c>
      <c r="I23" s="18">
        <v>1</v>
      </c>
      <c r="J23" s="18">
        <v>1</v>
      </c>
      <c r="K23" s="19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</row>
    <row r="24" spans="1:25" x14ac:dyDescent="0.25">
      <c r="A24" s="47"/>
      <c r="B24" s="47"/>
      <c r="C24" s="36" t="s">
        <v>168</v>
      </c>
      <c r="D24" s="37"/>
      <c r="E24" s="38" t="s">
        <v>207</v>
      </c>
      <c r="F24" s="39"/>
      <c r="G24" s="18">
        <v>1</v>
      </c>
      <c r="H24" s="18">
        <v>1</v>
      </c>
      <c r="I24" s="18">
        <v>1</v>
      </c>
      <c r="J24" s="18">
        <v>1</v>
      </c>
      <c r="K24" s="19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</row>
    <row r="25" spans="1:25" x14ac:dyDescent="0.25">
      <c r="A25" s="47"/>
      <c r="B25" s="47"/>
      <c r="C25" s="36" t="s">
        <v>169</v>
      </c>
      <c r="D25" s="37"/>
      <c r="E25" s="38" t="s">
        <v>98</v>
      </c>
      <c r="F25" s="39"/>
      <c r="G25" s="18">
        <v>1</v>
      </c>
      <c r="H25" s="18">
        <v>1</v>
      </c>
      <c r="I25" s="18">
        <v>1</v>
      </c>
      <c r="J25" s="18">
        <v>1</v>
      </c>
      <c r="K25" s="19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</row>
    <row r="26" spans="1:25" x14ac:dyDescent="0.25">
      <c r="A26" s="47"/>
      <c r="B26" s="47"/>
      <c r="C26" s="71" t="s">
        <v>51</v>
      </c>
      <c r="D26" s="72"/>
      <c r="E26" s="38" t="s">
        <v>206</v>
      </c>
      <c r="F26" s="39"/>
      <c r="G26" s="18">
        <v>1</v>
      </c>
      <c r="H26" s="18">
        <v>1</v>
      </c>
      <c r="I26" s="18">
        <v>1</v>
      </c>
      <c r="J26" s="18">
        <v>1</v>
      </c>
      <c r="K26" s="19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</row>
    <row r="27" spans="1:25" x14ac:dyDescent="0.25">
      <c r="A27" s="47"/>
      <c r="B27" s="46" t="s">
        <v>15</v>
      </c>
      <c r="C27" s="36" t="s">
        <v>170</v>
      </c>
      <c r="D27" s="37"/>
      <c r="E27" s="38" t="s">
        <v>99</v>
      </c>
      <c r="F27" s="39"/>
      <c r="G27" s="18">
        <v>2</v>
      </c>
      <c r="H27" s="18">
        <v>2</v>
      </c>
      <c r="I27" s="18">
        <v>2</v>
      </c>
      <c r="J27" s="18">
        <v>2</v>
      </c>
      <c r="K27" s="18">
        <v>2</v>
      </c>
      <c r="L27" s="19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</row>
    <row r="28" spans="1:25" x14ac:dyDescent="0.25">
      <c r="A28" s="47"/>
      <c r="B28" s="47"/>
      <c r="C28" s="36" t="s">
        <v>171</v>
      </c>
      <c r="D28" s="37"/>
      <c r="E28" s="38" t="s">
        <v>99</v>
      </c>
      <c r="F28" s="39"/>
      <c r="G28" s="18">
        <v>2</v>
      </c>
      <c r="H28" s="18">
        <v>2</v>
      </c>
      <c r="I28" s="18">
        <v>2</v>
      </c>
      <c r="J28" s="18">
        <v>2</v>
      </c>
      <c r="K28" s="18">
        <v>2</v>
      </c>
      <c r="L28" s="19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</row>
    <row r="29" spans="1:25" x14ac:dyDescent="0.25">
      <c r="A29" s="47"/>
      <c r="B29" s="47"/>
      <c r="C29" s="36" t="s">
        <v>172</v>
      </c>
      <c r="D29" s="37"/>
      <c r="E29" s="38" t="s">
        <v>99</v>
      </c>
      <c r="F29" s="39"/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9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</row>
    <row r="30" spans="1:25" x14ac:dyDescent="0.25">
      <c r="A30" s="47"/>
      <c r="B30" s="47"/>
      <c r="C30" s="36" t="s">
        <v>173</v>
      </c>
      <c r="D30" s="37"/>
      <c r="E30" s="38" t="s">
        <v>99</v>
      </c>
      <c r="F30" s="39"/>
      <c r="G30" s="18">
        <v>2</v>
      </c>
      <c r="H30" s="18">
        <v>2</v>
      </c>
      <c r="I30" s="18">
        <v>2</v>
      </c>
      <c r="J30" s="18">
        <v>2</v>
      </c>
      <c r="K30" s="18">
        <v>2</v>
      </c>
      <c r="L30" s="19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</row>
    <row r="31" spans="1:25" x14ac:dyDescent="0.25">
      <c r="A31" s="47"/>
      <c r="B31" s="47"/>
      <c r="C31" s="36" t="s">
        <v>174</v>
      </c>
      <c r="D31" s="37"/>
      <c r="E31" s="38" t="s">
        <v>99</v>
      </c>
      <c r="F31" s="39"/>
      <c r="G31" s="18">
        <v>4</v>
      </c>
      <c r="H31" s="18">
        <v>2</v>
      </c>
      <c r="I31" s="18">
        <v>2</v>
      </c>
      <c r="J31" s="18">
        <v>2</v>
      </c>
      <c r="K31" s="18">
        <v>2</v>
      </c>
      <c r="L31" s="19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</row>
    <row r="32" spans="1:25" x14ac:dyDescent="0.25">
      <c r="A32" s="47"/>
      <c r="B32" s="47"/>
      <c r="C32" s="36"/>
      <c r="D32" s="37"/>
      <c r="E32" s="38"/>
      <c r="F32" s="39"/>
      <c r="G32" s="18"/>
      <c r="H32" s="18"/>
      <c r="I32" s="18"/>
      <c r="J32" s="18"/>
      <c r="K32" s="18"/>
      <c r="L32" s="21">
        <v>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x14ac:dyDescent="0.25">
      <c r="A33" s="47"/>
      <c r="B33" s="47"/>
      <c r="C33" s="36" t="s">
        <v>175</v>
      </c>
      <c r="D33" s="37"/>
      <c r="E33" s="38" t="s">
        <v>99</v>
      </c>
      <c r="F33" s="39"/>
      <c r="G33" s="18">
        <v>2</v>
      </c>
      <c r="H33" s="18">
        <v>2</v>
      </c>
      <c r="I33" s="18">
        <v>2</v>
      </c>
      <c r="J33" s="18">
        <v>2</v>
      </c>
      <c r="K33" s="18">
        <v>2</v>
      </c>
      <c r="L33" s="19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</row>
    <row r="34" spans="1:25" x14ac:dyDescent="0.25">
      <c r="A34" s="47"/>
      <c r="B34" s="46" t="s">
        <v>16</v>
      </c>
      <c r="C34" s="36" t="s">
        <v>176</v>
      </c>
      <c r="D34" s="37"/>
      <c r="E34" s="38" t="s">
        <v>99</v>
      </c>
      <c r="F34" s="39"/>
      <c r="G34" s="18">
        <v>5</v>
      </c>
      <c r="H34" s="18">
        <v>5</v>
      </c>
      <c r="I34" s="18">
        <v>5</v>
      </c>
      <c r="J34" s="18">
        <v>5</v>
      </c>
      <c r="K34" s="18">
        <v>5</v>
      </c>
      <c r="L34" s="18">
        <v>5</v>
      </c>
      <c r="M34" s="19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</row>
    <row r="35" spans="1:25" x14ac:dyDescent="0.25">
      <c r="A35" s="47"/>
      <c r="B35" s="47"/>
      <c r="C35" s="36" t="s">
        <v>177</v>
      </c>
      <c r="D35" s="37"/>
      <c r="E35" s="38" t="s">
        <v>98</v>
      </c>
      <c r="F35" s="39"/>
      <c r="G35" s="18">
        <v>4</v>
      </c>
      <c r="H35" s="18">
        <v>5</v>
      </c>
      <c r="I35" s="18">
        <v>5</v>
      </c>
      <c r="J35" s="18">
        <v>5</v>
      </c>
      <c r="K35" s="18">
        <v>5</v>
      </c>
      <c r="L35" s="18">
        <v>5</v>
      </c>
      <c r="M35" s="19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</row>
    <row r="36" spans="1:25" x14ac:dyDescent="0.25">
      <c r="A36" s="47"/>
      <c r="B36" s="47"/>
      <c r="C36" s="36"/>
      <c r="D36" s="37"/>
      <c r="E36" s="38"/>
      <c r="F36" s="39"/>
      <c r="G36" s="18"/>
      <c r="H36" s="18"/>
      <c r="I36" s="18"/>
      <c r="J36" s="18"/>
      <c r="K36" s="18"/>
      <c r="L36" s="18"/>
      <c r="M36" s="20">
        <v>-1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x14ac:dyDescent="0.25">
      <c r="A37" s="47"/>
      <c r="B37" s="47"/>
      <c r="C37" s="36" t="s">
        <v>178</v>
      </c>
      <c r="D37" s="37"/>
      <c r="E37" s="38" t="s">
        <v>99</v>
      </c>
      <c r="F37" s="39"/>
      <c r="G37" s="18">
        <v>5</v>
      </c>
      <c r="H37" s="18">
        <v>5</v>
      </c>
      <c r="I37" s="18">
        <v>5</v>
      </c>
      <c r="J37" s="18">
        <v>5</v>
      </c>
      <c r="K37" s="18">
        <v>5</v>
      </c>
      <c r="L37" s="18">
        <v>5</v>
      </c>
      <c r="M37" s="18">
        <v>5</v>
      </c>
      <c r="N37" s="19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</row>
    <row r="38" spans="1:25" x14ac:dyDescent="0.25">
      <c r="A38" s="47"/>
      <c r="B38" s="47"/>
      <c r="C38" s="36" t="s">
        <v>179</v>
      </c>
      <c r="D38" s="37"/>
      <c r="E38" s="38" t="s">
        <v>98</v>
      </c>
      <c r="F38" s="39"/>
      <c r="G38" s="18">
        <v>5</v>
      </c>
      <c r="H38" s="18">
        <v>5</v>
      </c>
      <c r="I38" s="18">
        <v>5</v>
      </c>
      <c r="J38" s="18">
        <v>5</v>
      </c>
      <c r="K38" s="18">
        <v>5</v>
      </c>
      <c r="L38" s="18">
        <v>5</v>
      </c>
      <c r="M38" s="18">
        <v>5</v>
      </c>
      <c r="N38" s="19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</row>
    <row r="39" spans="1:25" x14ac:dyDescent="0.25">
      <c r="A39" s="47"/>
      <c r="B39" s="47"/>
      <c r="C39" s="36" t="s">
        <v>180</v>
      </c>
      <c r="D39" s="37"/>
      <c r="E39" s="38" t="s">
        <v>99</v>
      </c>
      <c r="F39" s="39"/>
      <c r="G39" s="18">
        <v>6</v>
      </c>
      <c r="H39" s="18">
        <v>6</v>
      </c>
      <c r="I39" s="18">
        <v>6</v>
      </c>
      <c r="J39" s="18">
        <v>6</v>
      </c>
      <c r="K39" s="18">
        <v>6</v>
      </c>
      <c r="L39" s="18">
        <v>6</v>
      </c>
      <c r="M39" s="18">
        <v>6</v>
      </c>
      <c r="N39" s="18">
        <v>6</v>
      </c>
      <c r="O39" s="19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</row>
    <row r="40" spans="1:25" x14ac:dyDescent="0.25">
      <c r="A40" s="47"/>
      <c r="B40" s="47"/>
      <c r="C40" s="36" t="s">
        <v>181</v>
      </c>
      <c r="D40" s="37"/>
      <c r="E40" s="38" t="s">
        <v>98</v>
      </c>
      <c r="F40" s="39"/>
      <c r="G40" s="18">
        <v>4</v>
      </c>
      <c r="H40" s="18">
        <v>6</v>
      </c>
      <c r="I40" s="18">
        <v>6</v>
      </c>
      <c r="J40" s="18">
        <v>6</v>
      </c>
      <c r="K40" s="18">
        <v>6</v>
      </c>
      <c r="L40" s="18">
        <v>6</v>
      </c>
      <c r="M40" s="18">
        <v>6</v>
      </c>
      <c r="N40" s="18">
        <v>6</v>
      </c>
      <c r="O40" s="19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</row>
    <row r="41" spans="1:25" x14ac:dyDescent="0.25">
      <c r="A41" s="47"/>
      <c r="B41" s="47"/>
      <c r="C41" s="36"/>
      <c r="D41" s="37"/>
      <c r="E41" s="38"/>
      <c r="F41" s="39"/>
      <c r="G41" s="18"/>
      <c r="H41" s="18"/>
      <c r="I41" s="18"/>
      <c r="J41" s="18"/>
      <c r="K41" s="18"/>
      <c r="L41" s="18"/>
      <c r="M41" s="18"/>
      <c r="N41" s="18"/>
      <c r="O41" s="20">
        <v>-2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x14ac:dyDescent="0.25">
      <c r="A42" s="47"/>
      <c r="B42" s="47"/>
      <c r="C42" s="36" t="s">
        <v>182</v>
      </c>
      <c r="D42" s="37"/>
      <c r="E42" s="38" t="s">
        <v>99</v>
      </c>
      <c r="F42" s="39"/>
      <c r="G42" s="18">
        <v>7</v>
      </c>
      <c r="H42" s="18">
        <v>7</v>
      </c>
      <c r="I42" s="18">
        <v>7</v>
      </c>
      <c r="J42" s="18">
        <v>7</v>
      </c>
      <c r="K42" s="18">
        <v>7</v>
      </c>
      <c r="L42" s="18">
        <v>7</v>
      </c>
      <c r="M42" s="18">
        <v>7</v>
      </c>
      <c r="N42" s="18">
        <v>7</v>
      </c>
      <c r="O42" s="18">
        <v>7</v>
      </c>
      <c r="P42" s="18">
        <v>3</v>
      </c>
      <c r="Q42" s="19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</row>
    <row r="43" spans="1:25" x14ac:dyDescent="0.25">
      <c r="A43" s="47"/>
      <c r="B43" s="47"/>
      <c r="C43" s="36" t="s">
        <v>183</v>
      </c>
      <c r="D43" s="37"/>
      <c r="E43" s="38" t="s">
        <v>98</v>
      </c>
      <c r="F43" s="39"/>
      <c r="G43" s="18">
        <v>7</v>
      </c>
      <c r="H43" s="18">
        <v>7</v>
      </c>
      <c r="I43" s="18">
        <v>7</v>
      </c>
      <c r="J43" s="18">
        <v>7</v>
      </c>
      <c r="K43" s="18">
        <v>7</v>
      </c>
      <c r="L43" s="18">
        <v>7</v>
      </c>
      <c r="M43" s="18">
        <v>7</v>
      </c>
      <c r="N43" s="18">
        <v>7</v>
      </c>
      <c r="O43" s="18">
        <v>7</v>
      </c>
      <c r="P43" s="18">
        <v>5</v>
      </c>
      <c r="Q43" s="19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</row>
    <row r="44" spans="1:25" x14ac:dyDescent="0.25">
      <c r="A44" s="47"/>
      <c r="B44" s="47"/>
      <c r="C44" s="36" t="s">
        <v>184</v>
      </c>
      <c r="D44" s="37"/>
      <c r="E44" s="38" t="s">
        <v>99</v>
      </c>
      <c r="F44" s="39"/>
      <c r="G44" s="18">
        <v>8</v>
      </c>
      <c r="H44" s="18">
        <v>6</v>
      </c>
      <c r="I44" s="18">
        <v>6</v>
      </c>
      <c r="J44" s="18">
        <v>6</v>
      </c>
      <c r="K44" s="18">
        <v>6</v>
      </c>
      <c r="L44" s="18">
        <v>6</v>
      </c>
      <c r="M44" s="18">
        <v>6</v>
      </c>
      <c r="N44" s="18">
        <v>6</v>
      </c>
      <c r="O44" s="18">
        <v>6</v>
      </c>
      <c r="P44" s="18">
        <v>6</v>
      </c>
      <c r="Q44" s="18">
        <v>6</v>
      </c>
      <c r="R44" s="18">
        <v>2</v>
      </c>
      <c r="S44" s="19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</row>
    <row r="45" spans="1:25" x14ac:dyDescent="0.25">
      <c r="A45" s="47"/>
      <c r="B45" s="47"/>
      <c r="C45" s="36"/>
      <c r="D45" s="37"/>
      <c r="E45" s="38"/>
      <c r="F45" s="39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1">
        <v>2</v>
      </c>
      <c r="T45" s="18"/>
      <c r="U45" s="18"/>
      <c r="V45" s="18"/>
      <c r="W45" s="18"/>
      <c r="X45" s="18"/>
      <c r="Y45" s="18"/>
    </row>
    <row r="46" spans="1:25" x14ac:dyDescent="0.25">
      <c r="A46" s="47"/>
      <c r="B46" s="47"/>
      <c r="C46" s="36" t="s">
        <v>185</v>
      </c>
      <c r="D46" s="37"/>
      <c r="E46" s="38" t="s">
        <v>98</v>
      </c>
      <c r="F46" s="39"/>
      <c r="G46" s="18">
        <v>6</v>
      </c>
      <c r="H46" s="18">
        <v>6</v>
      </c>
      <c r="I46" s="18">
        <v>6</v>
      </c>
      <c r="J46" s="18">
        <v>6</v>
      </c>
      <c r="K46" s="18">
        <v>6</v>
      </c>
      <c r="L46" s="18">
        <v>6</v>
      </c>
      <c r="M46" s="18">
        <v>6</v>
      </c>
      <c r="N46" s="18">
        <v>6</v>
      </c>
      <c r="O46" s="18">
        <v>6</v>
      </c>
      <c r="P46" s="18">
        <v>6</v>
      </c>
      <c r="Q46" s="18">
        <v>6</v>
      </c>
      <c r="R46" s="18">
        <v>4</v>
      </c>
      <c r="S46" s="19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</row>
    <row r="47" spans="1:25" x14ac:dyDescent="0.25">
      <c r="A47" s="47"/>
      <c r="B47" s="47"/>
      <c r="C47" s="36" t="s">
        <v>186</v>
      </c>
      <c r="D47" s="37"/>
      <c r="E47" s="38" t="s">
        <v>99</v>
      </c>
      <c r="F47" s="39"/>
      <c r="G47" s="18">
        <v>7</v>
      </c>
      <c r="H47" s="18">
        <v>8</v>
      </c>
      <c r="I47" s="18">
        <v>8</v>
      </c>
      <c r="J47" s="18">
        <v>8</v>
      </c>
      <c r="K47" s="18">
        <v>8</v>
      </c>
      <c r="L47" s="18">
        <v>8</v>
      </c>
      <c r="M47" s="18">
        <v>8</v>
      </c>
      <c r="N47" s="18">
        <v>8</v>
      </c>
      <c r="O47" s="18">
        <v>8</v>
      </c>
      <c r="P47" s="18">
        <v>8</v>
      </c>
      <c r="Q47" s="18">
        <v>8</v>
      </c>
      <c r="R47" s="18">
        <v>8</v>
      </c>
      <c r="S47" s="18">
        <v>3</v>
      </c>
      <c r="T47" s="19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</row>
    <row r="48" spans="1:25" x14ac:dyDescent="0.25">
      <c r="A48" s="47"/>
      <c r="B48" s="47"/>
      <c r="C48" s="36"/>
      <c r="D48" s="37"/>
      <c r="E48" s="38"/>
      <c r="F48" s="39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20">
        <v>-1</v>
      </c>
      <c r="U48" s="18"/>
      <c r="V48" s="18"/>
      <c r="W48" s="18"/>
      <c r="X48" s="18"/>
      <c r="Y48" s="18"/>
    </row>
    <row r="49" spans="1:25" x14ac:dyDescent="0.25">
      <c r="A49" s="47"/>
      <c r="B49" s="47"/>
      <c r="C49" s="36" t="s">
        <v>187</v>
      </c>
      <c r="D49" s="37"/>
      <c r="E49" s="38" t="s">
        <v>98</v>
      </c>
      <c r="F49" s="39"/>
      <c r="G49" s="18">
        <v>10</v>
      </c>
      <c r="H49" s="18">
        <v>8</v>
      </c>
      <c r="I49" s="18">
        <v>8</v>
      </c>
      <c r="J49" s="18">
        <v>8</v>
      </c>
      <c r="K49" s="18">
        <v>8</v>
      </c>
      <c r="L49" s="18">
        <v>8</v>
      </c>
      <c r="M49" s="18">
        <v>8</v>
      </c>
      <c r="N49" s="18">
        <v>8</v>
      </c>
      <c r="O49" s="18">
        <v>8</v>
      </c>
      <c r="P49" s="18">
        <v>8</v>
      </c>
      <c r="Q49" s="18">
        <v>8</v>
      </c>
      <c r="R49" s="18">
        <v>8</v>
      </c>
      <c r="S49" s="18">
        <v>6</v>
      </c>
      <c r="T49" s="19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</row>
    <row r="50" spans="1:25" x14ac:dyDescent="0.25">
      <c r="A50" s="47"/>
      <c r="B50" s="47"/>
      <c r="C50" s="36"/>
      <c r="D50" s="37"/>
      <c r="E50" s="38"/>
      <c r="F50" s="39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21">
        <v>2</v>
      </c>
      <c r="U50" s="18"/>
      <c r="V50" s="18"/>
      <c r="W50" s="18"/>
      <c r="X50" s="18"/>
      <c r="Y50" s="18"/>
    </row>
    <row r="51" spans="1:25" x14ac:dyDescent="0.25">
      <c r="A51" s="47"/>
      <c r="B51" s="47"/>
      <c r="C51" s="36" t="s">
        <v>61</v>
      </c>
      <c r="D51" s="37"/>
      <c r="E51" s="38" t="s">
        <v>206</v>
      </c>
      <c r="F51" s="39"/>
      <c r="G51" s="18">
        <v>8</v>
      </c>
      <c r="H51" s="18">
        <v>8</v>
      </c>
      <c r="I51" s="18">
        <v>8</v>
      </c>
      <c r="J51" s="18">
        <v>8</v>
      </c>
      <c r="K51" s="18">
        <v>8</v>
      </c>
      <c r="L51" s="18">
        <v>8</v>
      </c>
      <c r="M51" s="18">
        <v>8</v>
      </c>
      <c r="N51" s="18">
        <v>8</v>
      </c>
      <c r="O51" s="18">
        <v>8</v>
      </c>
      <c r="P51" s="18">
        <v>8</v>
      </c>
      <c r="Q51" s="18">
        <v>8</v>
      </c>
      <c r="R51" s="18">
        <v>8</v>
      </c>
      <c r="S51" s="18">
        <v>8</v>
      </c>
      <c r="T51" s="18">
        <v>8</v>
      </c>
      <c r="U51" s="19">
        <v>0</v>
      </c>
      <c r="V51" s="18">
        <v>0</v>
      </c>
      <c r="W51" s="18">
        <v>0</v>
      </c>
      <c r="X51" s="18">
        <v>0</v>
      </c>
      <c r="Y51" s="18">
        <v>0</v>
      </c>
    </row>
    <row r="52" spans="1:25" x14ac:dyDescent="0.25">
      <c r="A52" s="47"/>
      <c r="B52" s="46" t="s">
        <v>17</v>
      </c>
      <c r="C52" s="36" t="s">
        <v>188</v>
      </c>
      <c r="D52" s="37"/>
      <c r="E52" s="38" t="s">
        <v>99</v>
      </c>
      <c r="F52" s="39"/>
      <c r="G52" s="18">
        <v>2</v>
      </c>
      <c r="H52" s="18">
        <v>2</v>
      </c>
      <c r="I52" s="18">
        <v>2</v>
      </c>
      <c r="J52" s="18">
        <v>2</v>
      </c>
      <c r="K52" s="18">
        <v>2</v>
      </c>
      <c r="L52" s="18">
        <v>2</v>
      </c>
      <c r="M52" s="18">
        <v>2</v>
      </c>
      <c r="N52" s="18">
        <v>2</v>
      </c>
      <c r="O52" s="18">
        <v>2</v>
      </c>
      <c r="P52" s="18">
        <v>2</v>
      </c>
      <c r="Q52" s="18">
        <v>2</v>
      </c>
      <c r="R52" s="18">
        <v>2</v>
      </c>
      <c r="S52" s="18">
        <v>2</v>
      </c>
      <c r="T52" s="18">
        <v>2</v>
      </c>
      <c r="U52" s="18">
        <v>2</v>
      </c>
      <c r="V52" s="19">
        <v>0</v>
      </c>
      <c r="W52" s="18">
        <v>0</v>
      </c>
      <c r="X52" s="18">
        <v>0</v>
      </c>
      <c r="Y52" s="18">
        <v>0</v>
      </c>
    </row>
    <row r="53" spans="1:25" x14ac:dyDescent="0.25">
      <c r="A53" s="47"/>
      <c r="B53" s="47"/>
      <c r="C53" s="36" t="s">
        <v>189</v>
      </c>
      <c r="D53" s="37"/>
      <c r="E53" s="38" t="s">
        <v>99</v>
      </c>
      <c r="F53" s="39"/>
      <c r="G53" s="18">
        <v>2</v>
      </c>
      <c r="H53" s="18">
        <v>2</v>
      </c>
      <c r="I53" s="18">
        <v>2</v>
      </c>
      <c r="J53" s="18">
        <v>2</v>
      </c>
      <c r="K53" s="18">
        <v>2</v>
      </c>
      <c r="L53" s="18">
        <v>2</v>
      </c>
      <c r="M53" s="18">
        <v>2</v>
      </c>
      <c r="N53" s="18">
        <v>2</v>
      </c>
      <c r="O53" s="18">
        <v>2</v>
      </c>
      <c r="P53" s="18">
        <v>2</v>
      </c>
      <c r="Q53" s="18">
        <v>2</v>
      </c>
      <c r="R53" s="18">
        <v>2</v>
      </c>
      <c r="S53" s="18">
        <v>2</v>
      </c>
      <c r="T53" s="18">
        <v>2</v>
      </c>
      <c r="U53" s="18">
        <v>2</v>
      </c>
      <c r="V53" s="19">
        <v>0</v>
      </c>
      <c r="W53" s="18">
        <v>0</v>
      </c>
      <c r="X53" s="18">
        <v>0</v>
      </c>
      <c r="Y53" s="18">
        <v>0</v>
      </c>
    </row>
    <row r="54" spans="1:25" x14ac:dyDescent="0.25">
      <c r="A54" s="47"/>
      <c r="B54" s="47"/>
      <c r="C54" s="36" t="s">
        <v>190</v>
      </c>
      <c r="D54" s="37"/>
      <c r="E54" s="38" t="s">
        <v>99</v>
      </c>
      <c r="F54" s="39"/>
      <c r="G54" s="18">
        <v>2</v>
      </c>
      <c r="H54" s="18">
        <v>2</v>
      </c>
      <c r="I54" s="18">
        <v>2</v>
      </c>
      <c r="J54" s="18">
        <v>2</v>
      </c>
      <c r="K54" s="18">
        <v>2</v>
      </c>
      <c r="L54" s="18">
        <v>2</v>
      </c>
      <c r="M54" s="18">
        <v>2</v>
      </c>
      <c r="N54" s="18">
        <v>2</v>
      </c>
      <c r="O54" s="18">
        <v>2</v>
      </c>
      <c r="P54" s="18">
        <v>2</v>
      </c>
      <c r="Q54" s="18">
        <v>2</v>
      </c>
      <c r="R54" s="18">
        <v>2</v>
      </c>
      <c r="S54" s="18">
        <v>2</v>
      </c>
      <c r="T54" s="18">
        <v>2</v>
      </c>
      <c r="U54" s="18">
        <v>2</v>
      </c>
      <c r="V54" s="19">
        <v>0</v>
      </c>
      <c r="W54" s="18">
        <v>0</v>
      </c>
      <c r="X54" s="18">
        <v>0</v>
      </c>
      <c r="Y54" s="18">
        <v>0</v>
      </c>
    </row>
    <row r="55" spans="1:25" x14ac:dyDescent="0.25">
      <c r="A55" s="47"/>
      <c r="B55" s="47"/>
      <c r="C55" s="36" t="s">
        <v>191</v>
      </c>
      <c r="D55" s="37"/>
      <c r="E55" s="38" t="s">
        <v>99</v>
      </c>
      <c r="F55" s="39"/>
      <c r="G55" s="18">
        <v>2</v>
      </c>
      <c r="H55" s="18">
        <v>2</v>
      </c>
      <c r="I55" s="18">
        <v>2</v>
      </c>
      <c r="J55" s="18">
        <v>2</v>
      </c>
      <c r="K55" s="18">
        <v>2</v>
      </c>
      <c r="L55" s="18">
        <v>2</v>
      </c>
      <c r="M55" s="18">
        <v>2</v>
      </c>
      <c r="N55" s="18">
        <v>2</v>
      </c>
      <c r="O55" s="18">
        <v>2</v>
      </c>
      <c r="P55" s="18">
        <v>2</v>
      </c>
      <c r="Q55" s="18">
        <v>2</v>
      </c>
      <c r="R55" s="18">
        <v>2</v>
      </c>
      <c r="S55" s="18">
        <v>2</v>
      </c>
      <c r="T55" s="18">
        <v>2</v>
      </c>
      <c r="U55" s="18">
        <v>2</v>
      </c>
      <c r="V55" s="19">
        <v>0</v>
      </c>
      <c r="W55" s="18">
        <v>0</v>
      </c>
      <c r="X55" s="18">
        <v>0</v>
      </c>
      <c r="Y55" s="18">
        <v>0</v>
      </c>
    </row>
    <row r="56" spans="1:25" x14ac:dyDescent="0.25">
      <c r="A56" s="47"/>
      <c r="B56" s="47"/>
      <c r="C56" s="36" t="s">
        <v>192</v>
      </c>
      <c r="D56" s="37"/>
      <c r="E56" s="38" t="s">
        <v>99</v>
      </c>
      <c r="F56" s="39"/>
      <c r="G56" s="18">
        <v>1</v>
      </c>
      <c r="H56" s="18">
        <v>2</v>
      </c>
      <c r="I56" s="18">
        <v>2</v>
      </c>
      <c r="J56" s="18">
        <v>2</v>
      </c>
      <c r="K56" s="18">
        <v>2</v>
      </c>
      <c r="L56" s="18">
        <v>2</v>
      </c>
      <c r="M56" s="18">
        <v>2</v>
      </c>
      <c r="N56" s="18">
        <v>2</v>
      </c>
      <c r="O56" s="18">
        <v>2</v>
      </c>
      <c r="P56" s="18">
        <v>2</v>
      </c>
      <c r="Q56" s="18">
        <v>2</v>
      </c>
      <c r="R56" s="18">
        <v>2</v>
      </c>
      <c r="S56" s="18">
        <v>2</v>
      </c>
      <c r="T56" s="18">
        <v>2</v>
      </c>
      <c r="U56" s="18">
        <v>2</v>
      </c>
      <c r="V56" s="19">
        <v>0</v>
      </c>
      <c r="W56" s="18">
        <v>0</v>
      </c>
      <c r="X56" s="18">
        <v>0</v>
      </c>
      <c r="Y56" s="18">
        <v>0</v>
      </c>
    </row>
    <row r="57" spans="1:25" x14ac:dyDescent="0.25">
      <c r="A57" s="47"/>
      <c r="B57" s="47"/>
      <c r="C57" s="36"/>
      <c r="D57" s="37"/>
      <c r="E57" s="38"/>
      <c r="F57" s="3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20">
        <v>-1</v>
      </c>
      <c r="W57" s="18"/>
      <c r="X57" s="18"/>
      <c r="Y57" s="18"/>
    </row>
    <row r="58" spans="1:25" x14ac:dyDescent="0.25">
      <c r="A58" s="47"/>
      <c r="B58" s="47"/>
      <c r="C58" s="36" t="s">
        <v>193</v>
      </c>
      <c r="D58" s="37"/>
      <c r="E58" s="38" t="s">
        <v>99</v>
      </c>
      <c r="F58" s="39"/>
      <c r="G58" s="18">
        <v>4</v>
      </c>
      <c r="H58" s="18">
        <v>2</v>
      </c>
      <c r="I58" s="18">
        <v>2</v>
      </c>
      <c r="J58" s="18">
        <v>2</v>
      </c>
      <c r="K58" s="18">
        <v>2</v>
      </c>
      <c r="L58" s="18">
        <v>2</v>
      </c>
      <c r="M58" s="18">
        <v>2</v>
      </c>
      <c r="N58" s="18">
        <v>2</v>
      </c>
      <c r="O58" s="18">
        <v>2</v>
      </c>
      <c r="P58" s="18">
        <v>2</v>
      </c>
      <c r="Q58" s="18">
        <v>2</v>
      </c>
      <c r="R58" s="18">
        <v>2</v>
      </c>
      <c r="S58" s="18">
        <v>2</v>
      </c>
      <c r="T58" s="18">
        <v>2</v>
      </c>
      <c r="U58" s="18">
        <v>2</v>
      </c>
      <c r="V58" s="19">
        <v>0</v>
      </c>
      <c r="W58" s="18">
        <v>0</v>
      </c>
      <c r="X58" s="18">
        <v>0</v>
      </c>
      <c r="Y58" s="18">
        <v>0</v>
      </c>
    </row>
    <row r="59" spans="1:25" x14ac:dyDescent="0.25">
      <c r="A59" s="47"/>
      <c r="B59" s="47"/>
      <c r="C59" s="36"/>
      <c r="D59" s="37"/>
      <c r="E59" s="38"/>
      <c r="F59" s="3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21">
        <v>2</v>
      </c>
      <c r="W59" s="18"/>
      <c r="X59" s="18"/>
      <c r="Y59" s="18"/>
    </row>
    <row r="60" spans="1:25" x14ac:dyDescent="0.25">
      <c r="A60" s="47"/>
      <c r="B60" s="46" t="s">
        <v>18</v>
      </c>
      <c r="C60" s="36" t="s">
        <v>194</v>
      </c>
      <c r="D60" s="37"/>
      <c r="E60" s="38" t="s">
        <v>97</v>
      </c>
      <c r="F60" s="39"/>
      <c r="G60" s="18">
        <v>1</v>
      </c>
      <c r="H60" s="18">
        <v>2</v>
      </c>
      <c r="I60" s="18">
        <v>2</v>
      </c>
      <c r="J60" s="18">
        <v>2</v>
      </c>
      <c r="K60" s="18">
        <v>2</v>
      </c>
      <c r="L60" s="18">
        <v>2</v>
      </c>
      <c r="M60" s="18">
        <v>2</v>
      </c>
      <c r="N60" s="18">
        <v>2</v>
      </c>
      <c r="O60" s="18">
        <v>2</v>
      </c>
      <c r="P60" s="18">
        <v>2</v>
      </c>
      <c r="Q60" s="18">
        <v>2</v>
      </c>
      <c r="R60" s="18">
        <v>2</v>
      </c>
      <c r="S60" s="18">
        <v>2</v>
      </c>
      <c r="T60" s="18">
        <v>2</v>
      </c>
      <c r="U60" s="18">
        <v>2</v>
      </c>
      <c r="V60" s="18">
        <v>2</v>
      </c>
      <c r="W60" s="19">
        <v>0</v>
      </c>
      <c r="X60" s="18">
        <v>0</v>
      </c>
      <c r="Y60" s="18">
        <v>0</v>
      </c>
    </row>
    <row r="61" spans="1:25" x14ac:dyDescent="0.25">
      <c r="A61" s="47"/>
      <c r="B61" s="47"/>
      <c r="C61" s="36"/>
      <c r="D61" s="37"/>
      <c r="E61" s="38"/>
      <c r="F61" s="39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20">
        <v>-1</v>
      </c>
      <c r="X61" s="18"/>
      <c r="Y61" s="18"/>
    </row>
    <row r="62" spans="1:25" x14ac:dyDescent="0.25">
      <c r="A62" s="47"/>
      <c r="B62" s="47"/>
      <c r="C62" s="36" t="s">
        <v>195</v>
      </c>
      <c r="D62" s="37"/>
      <c r="E62" s="38" t="s">
        <v>97</v>
      </c>
      <c r="F62" s="39"/>
      <c r="G62" s="18">
        <v>2</v>
      </c>
      <c r="H62" s="18">
        <v>2</v>
      </c>
      <c r="I62" s="18">
        <v>2</v>
      </c>
      <c r="J62" s="18">
        <v>2</v>
      </c>
      <c r="K62" s="18">
        <v>2</v>
      </c>
      <c r="L62" s="18">
        <v>2</v>
      </c>
      <c r="M62" s="18">
        <v>2</v>
      </c>
      <c r="N62" s="18">
        <v>2</v>
      </c>
      <c r="O62" s="18">
        <v>2</v>
      </c>
      <c r="P62" s="18">
        <v>2</v>
      </c>
      <c r="Q62" s="18">
        <v>2</v>
      </c>
      <c r="R62" s="18">
        <v>2</v>
      </c>
      <c r="S62" s="18">
        <v>2</v>
      </c>
      <c r="T62" s="18">
        <v>2</v>
      </c>
      <c r="U62" s="18">
        <v>2</v>
      </c>
      <c r="V62" s="18">
        <v>2</v>
      </c>
      <c r="W62" s="19">
        <v>0</v>
      </c>
      <c r="X62" s="18">
        <v>0</v>
      </c>
      <c r="Y62" s="18">
        <v>0</v>
      </c>
    </row>
    <row r="63" spans="1:25" x14ac:dyDescent="0.25">
      <c r="A63" s="47"/>
      <c r="B63" s="47"/>
      <c r="C63" s="36" t="s">
        <v>196</v>
      </c>
      <c r="D63" s="37"/>
      <c r="E63" s="38" t="s">
        <v>99</v>
      </c>
      <c r="F63" s="39"/>
      <c r="G63" s="18">
        <v>2</v>
      </c>
      <c r="H63" s="18">
        <v>2</v>
      </c>
      <c r="I63" s="18">
        <v>2</v>
      </c>
      <c r="J63" s="18">
        <v>2</v>
      </c>
      <c r="K63" s="18">
        <v>2</v>
      </c>
      <c r="L63" s="18">
        <v>2</v>
      </c>
      <c r="M63" s="18">
        <v>2</v>
      </c>
      <c r="N63" s="18">
        <v>2</v>
      </c>
      <c r="O63" s="18">
        <v>2</v>
      </c>
      <c r="P63" s="18">
        <v>2</v>
      </c>
      <c r="Q63" s="18">
        <v>2</v>
      </c>
      <c r="R63" s="18">
        <v>2</v>
      </c>
      <c r="S63" s="18">
        <v>2</v>
      </c>
      <c r="T63" s="18">
        <v>2</v>
      </c>
      <c r="U63" s="18">
        <v>2</v>
      </c>
      <c r="V63" s="18">
        <v>2</v>
      </c>
      <c r="W63" s="19">
        <v>0</v>
      </c>
      <c r="X63" s="18">
        <v>0</v>
      </c>
      <c r="Y63" s="18">
        <v>0</v>
      </c>
    </row>
    <row r="64" spans="1:25" x14ac:dyDescent="0.25">
      <c r="A64" s="47"/>
      <c r="B64" s="47"/>
      <c r="C64" s="36" t="s">
        <v>197</v>
      </c>
      <c r="D64" s="37"/>
      <c r="E64" s="38" t="s">
        <v>100</v>
      </c>
      <c r="F64" s="39"/>
      <c r="G64" s="18">
        <v>2</v>
      </c>
      <c r="H64" s="18">
        <v>2</v>
      </c>
      <c r="I64" s="18">
        <v>2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18">
        <v>2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9">
        <v>0</v>
      </c>
      <c r="X64" s="18">
        <v>0</v>
      </c>
      <c r="Y64" s="18">
        <v>0</v>
      </c>
    </row>
    <row r="65" spans="1:25" x14ac:dyDescent="0.25">
      <c r="A65" s="47"/>
      <c r="B65" s="47"/>
      <c r="C65" s="36" t="s">
        <v>198</v>
      </c>
      <c r="D65" s="37"/>
      <c r="E65" s="38" t="s">
        <v>207</v>
      </c>
      <c r="F65" s="39"/>
      <c r="G65" s="18">
        <v>5</v>
      </c>
      <c r="H65" s="18">
        <v>2</v>
      </c>
      <c r="I65" s="18">
        <v>2</v>
      </c>
      <c r="J65" s="18">
        <v>2</v>
      </c>
      <c r="K65" s="18">
        <v>2</v>
      </c>
      <c r="L65" s="18">
        <v>2</v>
      </c>
      <c r="M65" s="18">
        <v>2</v>
      </c>
      <c r="N65" s="18">
        <v>2</v>
      </c>
      <c r="O65" s="18">
        <v>2</v>
      </c>
      <c r="P65" s="18">
        <v>2</v>
      </c>
      <c r="Q65" s="18">
        <v>2</v>
      </c>
      <c r="R65" s="18">
        <v>2</v>
      </c>
      <c r="S65" s="18">
        <v>2</v>
      </c>
      <c r="T65" s="18">
        <v>2</v>
      </c>
      <c r="U65" s="18">
        <v>2</v>
      </c>
      <c r="V65" s="18">
        <v>2</v>
      </c>
      <c r="W65" s="19">
        <v>0</v>
      </c>
      <c r="X65" s="18">
        <v>0</v>
      </c>
      <c r="Y65" s="18">
        <v>0</v>
      </c>
    </row>
    <row r="66" spans="1:25" x14ac:dyDescent="0.25">
      <c r="A66" s="47"/>
      <c r="B66" s="47"/>
      <c r="C66" s="36"/>
      <c r="D66" s="37"/>
      <c r="E66" s="38"/>
      <c r="F66" s="39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21">
        <v>3</v>
      </c>
      <c r="X66" s="18"/>
      <c r="Y66" s="18"/>
    </row>
    <row r="67" spans="1:25" x14ac:dyDescent="0.25">
      <c r="A67" s="47"/>
      <c r="B67" s="47"/>
      <c r="C67" s="36" t="s">
        <v>199</v>
      </c>
      <c r="D67" s="37"/>
      <c r="E67" s="38" t="s">
        <v>98</v>
      </c>
      <c r="F67" s="39"/>
      <c r="G67" s="18">
        <v>2</v>
      </c>
      <c r="H67" s="18">
        <v>2</v>
      </c>
      <c r="I67" s="18">
        <v>2</v>
      </c>
      <c r="J67" s="18">
        <v>2</v>
      </c>
      <c r="K67" s="18">
        <v>2</v>
      </c>
      <c r="L67" s="18">
        <v>2</v>
      </c>
      <c r="M67" s="18">
        <v>2</v>
      </c>
      <c r="N67" s="18">
        <v>2</v>
      </c>
      <c r="O67" s="18">
        <v>2</v>
      </c>
      <c r="P67" s="18">
        <v>2</v>
      </c>
      <c r="Q67" s="18">
        <v>2</v>
      </c>
      <c r="R67" s="18">
        <v>2</v>
      </c>
      <c r="S67" s="18">
        <v>2</v>
      </c>
      <c r="T67" s="18">
        <v>2</v>
      </c>
      <c r="U67" s="18">
        <v>2</v>
      </c>
      <c r="V67" s="18">
        <v>2</v>
      </c>
      <c r="W67" s="19">
        <v>0</v>
      </c>
      <c r="X67" s="18">
        <v>0</v>
      </c>
      <c r="Y67" s="18">
        <v>0</v>
      </c>
    </row>
    <row r="68" spans="1:25" x14ac:dyDescent="0.25">
      <c r="A68" s="47"/>
      <c r="B68" s="46" t="s">
        <v>25</v>
      </c>
      <c r="C68" s="36" t="s">
        <v>200</v>
      </c>
      <c r="D68" s="37"/>
      <c r="E68" s="49" t="s">
        <v>99</v>
      </c>
      <c r="F68" s="50"/>
      <c r="G68" s="18">
        <v>2</v>
      </c>
      <c r="H68" s="18">
        <v>2</v>
      </c>
      <c r="I68" s="18">
        <v>2</v>
      </c>
      <c r="J68" s="18">
        <v>2</v>
      </c>
      <c r="K68" s="18">
        <v>2</v>
      </c>
      <c r="L68" s="18">
        <v>2</v>
      </c>
      <c r="M68" s="18">
        <v>2</v>
      </c>
      <c r="N68" s="18">
        <v>2</v>
      </c>
      <c r="O68" s="18">
        <v>2</v>
      </c>
      <c r="P68" s="18">
        <v>2</v>
      </c>
      <c r="Q68" s="18">
        <v>2</v>
      </c>
      <c r="R68" s="18">
        <v>2</v>
      </c>
      <c r="S68" s="18">
        <v>2</v>
      </c>
      <c r="T68" s="18">
        <v>2</v>
      </c>
      <c r="U68" s="18">
        <v>2</v>
      </c>
      <c r="V68" s="18">
        <v>2</v>
      </c>
      <c r="W68" s="18">
        <v>2</v>
      </c>
      <c r="X68" s="19">
        <v>0</v>
      </c>
      <c r="Y68" s="18">
        <v>0</v>
      </c>
    </row>
    <row r="69" spans="1:25" x14ac:dyDescent="0.25">
      <c r="A69" s="47"/>
      <c r="B69" s="47"/>
      <c r="C69" s="36" t="s">
        <v>201</v>
      </c>
      <c r="D69" s="37"/>
      <c r="E69" s="49" t="s">
        <v>99</v>
      </c>
      <c r="F69" s="50"/>
      <c r="G69" s="18">
        <v>2</v>
      </c>
      <c r="H69" s="18">
        <v>2</v>
      </c>
      <c r="I69" s="18">
        <v>2</v>
      </c>
      <c r="J69" s="18">
        <v>2</v>
      </c>
      <c r="K69" s="18">
        <v>2</v>
      </c>
      <c r="L69" s="18">
        <v>2</v>
      </c>
      <c r="M69" s="18">
        <v>2</v>
      </c>
      <c r="N69" s="18">
        <v>2</v>
      </c>
      <c r="O69" s="18">
        <v>2</v>
      </c>
      <c r="P69" s="18">
        <v>2</v>
      </c>
      <c r="Q69" s="18">
        <v>2</v>
      </c>
      <c r="R69" s="18">
        <v>2</v>
      </c>
      <c r="S69" s="18">
        <v>2</v>
      </c>
      <c r="T69" s="18">
        <v>2</v>
      </c>
      <c r="U69" s="18">
        <v>2</v>
      </c>
      <c r="V69" s="18">
        <v>2</v>
      </c>
      <c r="W69" s="18">
        <v>2</v>
      </c>
      <c r="X69" s="19">
        <v>0</v>
      </c>
      <c r="Y69" s="18">
        <v>0</v>
      </c>
    </row>
    <row r="70" spans="1:25" x14ac:dyDescent="0.25">
      <c r="A70" s="47"/>
      <c r="B70" s="47"/>
      <c r="C70" s="36" t="s">
        <v>202</v>
      </c>
      <c r="D70" s="37"/>
      <c r="E70" s="49" t="s">
        <v>99</v>
      </c>
      <c r="F70" s="50"/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9">
        <v>0</v>
      </c>
      <c r="Y70" s="18">
        <v>0</v>
      </c>
    </row>
    <row r="71" spans="1:25" x14ac:dyDescent="0.25">
      <c r="A71" s="47"/>
      <c r="B71" s="47"/>
      <c r="C71" s="36" t="s">
        <v>203</v>
      </c>
      <c r="D71" s="37"/>
      <c r="E71" s="49" t="s">
        <v>99</v>
      </c>
      <c r="F71" s="50"/>
      <c r="G71" s="18">
        <v>2</v>
      </c>
      <c r="H71" s="18">
        <v>2</v>
      </c>
      <c r="I71" s="18">
        <v>2</v>
      </c>
      <c r="J71" s="18">
        <v>2</v>
      </c>
      <c r="K71" s="18">
        <v>2</v>
      </c>
      <c r="L71" s="18">
        <v>2</v>
      </c>
      <c r="M71" s="18">
        <v>2</v>
      </c>
      <c r="N71" s="18">
        <v>2</v>
      </c>
      <c r="O71" s="18">
        <v>2</v>
      </c>
      <c r="P71" s="18">
        <v>2</v>
      </c>
      <c r="Q71" s="18">
        <v>2</v>
      </c>
      <c r="R71" s="18">
        <v>2</v>
      </c>
      <c r="S71" s="18">
        <v>2</v>
      </c>
      <c r="T71" s="18">
        <v>2</v>
      </c>
      <c r="U71" s="18">
        <v>2</v>
      </c>
      <c r="V71" s="18">
        <v>2</v>
      </c>
      <c r="W71" s="18">
        <v>2</v>
      </c>
      <c r="X71" s="19">
        <v>0</v>
      </c>
      <c r="Y71" s="18">
        <v>0</v>
      </c>
    </row>
    <row r="72" spans="1:25" x14ac:dyDescent="0.25">
      <c r="A72" s="47"/>
      <c r="B72" s="47"/>
      <c r="C72" s="36" t="s">
        <v>204</v>
      </c>
      <c r="D72" s="37"/>
      <c r="E72" s="49" t="s">
        <v>99</v>
      </c>
      <c r="F72" s="50"/>
      <c r="G72" s="18">
        <v>2</v>
      </c>
      <c r="H72" s="18">
        <v>2</v>
      </c>
      <c r="I72" s="18">
        <v>2</v>
      </c>
      <c r="J72" s="18">
        <v>2</v>
      </c>
      <c r="K72" s="18">
        <v>2</v>
      </c>
      <c r="L72" s="18">
        <v>2</v>
      </c>
      <c r="M72" s="18">
        <v>2</v>
      </c>
      <c r="N72" s="18">
        <v>2</v>
      </c>
      <c r="O72" s="18">
        <v>2</v>
      </c>
      <c r="P72" s="18">
        <v>2</v>
      </c>
      <c r="Q72" s="18">
        <v>2</v>
      </c>
      <c r="R72" s="18">
        <v>2</v>
      </c>
      <c r="S72" s="18">
        <v>2</v>
      </c>
      <c r="T72" s="18">
        <v>2</v>
      </c>
      <c r="U72" s="18">
        <v>2</v>
      </c>
      <c r="V72" s="18">
        <v>2</v>
      </c>
      <c r="W72" s="18">
        <v>2</v>
      </c>
      <c r="X72" s="19">
        <v>0</v>
      </c>
      <c r="Y72" s="18">
        <v>0</v>
      </c>
    </row>
    <row r="73" spans="1:25" x14ac:dyDescent="0.25">
      <c r="A73" s="47"/>
      <c r="B73" s="47"/>
      <c r="C73" s="36" t="s">
        <v>205</v>
      </c>
      <c r="D73" s="37"/>
      <c r="E73" s="49" t="s">
        <v>99</v>
      </c>
      <c r="F73" s="50"/>
      <c r="G73" s="18">
        <v>2</v>
      </c>
      <c r="H73" s="18">
        <v>2</v>
      </c>
      <c r="I73" s="18">
        <v>2</v>
      </c>
      <c r="J73" s="18">
        <v>2</v>
      </c>
      <c r="K73" s="18">
        <v>2</v>
      </c>
      <c r="L73" s="18">
        <v>2</v>
      </c>
      <c r="M73" s="18">
        <v>2</v>
      </c>
      <c r="N73" s="18">
        <v>2</v>
      </c>
      <c r="O73" s="18">
        <v>2</v>
      </c>
      <c r="P73" s="18">
        <v>2</v>
      </c>
      <c r="Q73" s="18">
        <v>2</v>
      </c>
      <c r="R73" s="18">
        <v>2</v>
      </c>
      <c r="S73" s="18">
        <v>2</v>
      </c>
      <c r="T73" s="18">
        <v>2</v>
      </c>
      <c r="U73" s="18">
        <v>2</v>
      </c>
      <c r="V73" s="18">
        <v>2</v>
      </c>
      <c r="W73" s="18">
        <v>2</v>
      </c>
      <c r="X73" s="19">
        <v>0</v>
      </c>
      <c r="Y73" s="18">
        <v>0</v>
      </c>
    </row>
    <row r="74" spans="1:25" x14ac:dyDescent="0.25">
      <c r="A74" s="47"/>
      <c r="B74" s="46" t="s">
        <v>24</v>
      </c>
      <c r="C74" s="36" t="s">
        <v>161</v>
      </c>
      <c r="D74" s="37"/>
      <c r="E74" s="38" t="s">
        <v>206</v>
      </c>
      <c r="F74" s="39"/>
      <c r="G74" s="18">
        <v>3</v>
      </c>
      <c r="H74" s="18">
        <v>4</v>
      </c>
      <c r="I74" s="18">
        <v>4</v>
      </c>
      <c r="J74" s="18">
        <v>4</v>
      </c>
      <c r="K74" s="18">
        <v>4</v>
      </c>
      <c r="L74" s="18">
        <v>4</v>
      </c>
      <c r="M74" s="18">
        <v>4</v>
      </c>
      <c r="N74" s="18">
        <v>4</v>
      </c>
      <c r="O74" s="18">
        <v>4</v>
      </c>
      <c r="P74" s="18">
        <v>4</v>
      </c>
      <c r="Q74" s="18">
        <v>4</v>
      </c>
      <c r="R74" s="18">
        <v>4</v>
      </c>
      <c r="S74" s="18">
        <v>4</v>
      </c>
      <c r="T74" s="18">
        <v>4</v>
      </c>
      <c r="U74" s="18">
        <v>4</v>
      </c>
      <c r="V74" s="18">
        <v>4</v>
      </c>
      <c r="W74" s="18">
        <v>4</v>
      </c>
      <c r="X74" s="18">
        <v>4</v>
      </c>
      <c r="Y74" s="19">
        <v>0</v>
      </c>
    </row>
    <row r="75" spans="1:25" x14ac:dyDescent="0.25">
      <c r="A75" s="47"/>
      <c r="B75" s="47"/>
      <c r="C75" s="36"/>
      <c r="D75" s="37"/>
      <c r="E75" s="38"/>
      <c r="F75" s="3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v>-1</v>
      </c>
    </row>
    <row r="76" spans="1:25" x14ac:dyDescent="0.25">
      <c r="A76" s="47"/>
      <c r="B76" s="47"/>
      <c r="C76" s="36" t="s">
        <v>163</v>
      </c>
      <c r="D76" s="37"/>
      <c r="E76" s="38" t="s">
        <v>206</v>
      </c>
      <c r="F76" s="39"/>
      <c r="G76" s="18">
        <v>4</v>
      </c>
      <c r="H76" s="18">
        <v>4</v>
      </c>
      <c r="I76" s="18">
        <v>4</v>
      </c>
      <c r="J76" s="18">
        <v>4</v>
      </c>
      <c r="K76" s="18">
        <v>4</v>
      </c>
      <c r="L76" s="18">
        <v>4</v>
      </c>
      <c r="M76" s="18">
        <v>4</v>
      </c>
      <c r="N76" s="18">
        <v>4</v>
      </c>
      <c r="O76" s="18">
        <v>4</v>
      </c>
      <c r="P76" s="18">
        <v>4</v>
      </c>
      <c r="Q76" s="18">
        <v>4</v>
      </c>
      <c r="R76" s="18">
        <v>4</v>
      </c>
      <c r="S76" s="18">
        <v>4</v>
      </c>
      <c r="T76" s="18">
        <v>4</v>
      </c>
      <c r="U76" s="18">
        <v>4</v>
      </c>
      <c r="V76" s="18">
        <v>4</v>
      </c>
      <c r="W76" s="18">
        <v>4</v>
      </c>
      <c r="X76" s="18">
        <v>4</v>
      </c>
      <c r="Y76" s="19">
        <v>0</v>
      </c>
    </row>
    <row r="77" spans="1:25" x14ac:dyDescent="0.25">
      <c r="A77" s="47"/>
      <c r="B77" s="40" t="s">
        <v>12</v>
      </c>
      <c r="C77" s="41"/>
      <c r="D77" s="42"/>
      <c r="E77" s="51" t="s">
        <v>11</v>
      </c>
      <c r="F77" s="52"/>
      <c r="G77" s="38">
        <f>SUM(G14:G76)</f>
        <v>169</v>
      </c>
      <c r="H77" s="39"/>
      <c r="I77" s="18">
        <f t="shared" ref="I77:Y77" si="0">SUM(I14:I76)</f>
        <v>166</v>
      </c>
      <c r="J77" s="18">
        <f t="shared" si="0"/>
        <v>156</v>
      </c>
      <c r="K77" s="18">
        <f t="shared" si="0"/>
        <v>145</v>
      </c>
      <c r="L77" s="18">
        <f t="shared" si="0"/>
        <v>136</v>
      </c>
      <c r="M77" s="18">
        <f t="shared" si="0"/>
        <v>123</v>
      </c>
      <c r="N77" s="18">
        <f t="shared" si="0"/>
        <v>114</v>
      </c>
      <c r="O77" s="18">
        <f t="shared" si="0"/>
        <v>100</v>
      </c>
      <c r="P77" s="18">
        <f t="shared" si="0"/>
        <v>96</v>
      </c>
      <c r="Q77" s="18">
        <f t="shared" si="0"/>
        <v>88</v>
      </c>
      <c r="R77" s="18">
        <f t="shared" si="0"/>
        <v>82</v>
      </c>
      <c r="S77" s="18">
        <f t="shared" si="0"/>
        <v>71</v>
      </c>
      <c r="T77" s="18">
        <f t="shared" si="0"/>
        <v>61</v>
      </c>
      <c r="U77" s="18">
        <f t="shared" si="0"/>
        <v>52</v>
      </c>
      <c r="V77" s="18">
        <f t="shared" si="0"/>
        <v>39</v>
      </c>
      <c r="W77" s="18">
        <f t="shared" si="0"/>
        <v>26</v>
      </c>
      <c r="X77" s="18">
        <f t="shared" si="0"/>
        <v>10</v>
      </c>
      <c r="Y77" s="18">
        <f t="shared" si="0"/>
        <v>0</v>
      </c>
    </row>
    <row r="78" spans="1:25" x14ac:dyDescent="0.25">
      <c r="A78" s="48"/>
      <c r="B78" s="43"/>
      <c r="C78" s="44"/>
      <c r="D78" s="45"/>
      <c r="E78" s="51" t="s">
        <v>27</v>
      </c>
      <c r="F78" s="52"/>
      <c r="G78" s="38">
        <f>SUM(H14:H76)</f>
        <v>166</v>
      </c>
      <c r="H78" s="39"/>
      <c r="I78" s="18">
        <f>SUM(I14:I76)</f>
        <v>166</v>
      </c>
      <c r="J78" s="18">
        <f>SUM(J14:J76)+2</f>
        <v>158</v>
      </c>
      <c r="K78" s="18">
        <f>SUM(K14:K76)</f>
        <v>145</v>
      </c>
      <c r="L78" s="18">
        <f>SUM(L14:L76)-2</f>
        <v>134</v>
      </c>
      <c r="M78" s="18">
        <f>SUM(M14:M76)+1</f>
        <v>124</v>
      </c>
      <c r="N78" s="18">
        <f>SUM(N14:N76)</f>
        <v>114</v>
      </c>
      <c r="O78" s="18">
        <f>SUM(O14:O76)+2</f>
        <v>102</v>
      </c>
      <c r="P78" s="18">
        <f>SUM(P14:P76)</f>
        <v>96</v>
      </c>
      <c r="Q78" s="18">
        <f>SUM(Q14:Q76)</f>
        <v>88</v>
      </c>
      <c r="R78" s="18">
        <f>SUM(R14:R76)</f>
        <v>82</v>
      </c>
      <c r="S78" s="18">
        <f>SUM(S14:S76)-2</f>
        <v>69</v>
      </c>
      <c r="T78" s="18">
        <f>SUM(T14:T76)-1</f>
        <v>60</v>
      </c>
      <c r="U78" s="18">
        <f>SUM(U14:U76)</f>
        <v>52</v>
      </c>
      <c r="V78" s="18">
        <f>SUM(V14:V76)-1</f>
        <v>38</v>
      </c>
      <c r="W78" s="18">
        <f>SUM(W14:W76)-2</f>
        <v>24</v>
      </c>
      <c r="X78" s="18">
        <f>SUM(X14:X76)</f>
        <v>10</v>
      </c>
      <c r="Y78" s="18">
        <f>SUM(Y14:Y76)</f>
        <v>0</v>
      </c>
    </row>
  </sheetData>
  <mergeCells count="146">
    <mergeCell ref="C70:D70"/>
    <mergeCell ref="C57:D57"/>
    <mergeCell ref="C58:D58"/>
    <mergeCell ref="E57:F57"/>
    <mergeCell ref="E58:F58"/>
    <mergeCell ref="C50:D50"/>
    <mergeCell ref="E50:F50"/>
    <mergeCell ref="C61:D61"/>
    <mergeCell ref="E61:F61"/>
    <mergeCell ref="C66:D66"/>
    <mergeCell ref="E66:F66"/>
    <mergeCell ref="E67:F67"/>
    <mergeCell ref="E14:F14"/>
    <mergeCell ref="E77:F77"/>
    <mergeCell ref="E62:F62"/>
    <mergeCell ref="E63:F63"/>
    <mergeCell ref="E34:F34"/>
    <mergeCell ref="C47:D47"/>
    <mergeCell ref="C49:D49"/>
    <mergeCell ref="C51:D51"/>
    <mergeCell ref="C45:D45"/>
    <mergeCell ref="E45:F45"/>
    <mergeCell ref="C56:D56"/>
    <mergeCell ref="E56:F56"/>
    <mergeCell ref="C67:D67"/>
    <mergeCell ref="C28:D28"/>
    <mergeCell ref="C74:D74"/>
    <mergeCell ref="C26:D26"/>
    <mergeCell ref="E25:F25"/>
    <mergeCell ref="E26:F26"/>
    <mergeCell ref="E29:F29"/>
    <mergeCell ref="C33:D33"/>
    <mergeCell ref="E33:F33"/>
    <mergeCell ref="C32:D32"/>
    <mergeCell ref="E32:F32"/>
    <mergeCell ref="E30:F30"/>
    <mergeCell ref="E55:F55"/>
    <mergeCell ref="E65:F65"/>
    <mergeCell ref="E68:F68"/>
    <mergeCell ref="E69:F69"/>
    <mergeCell ref="E64:F64"/>
    <mergeCell ref="E60:F60"/>
    <mergeCell ref="E52:F52"/>
    <mergeCell ref="E53:F53"/>
    <mergeCell ref="B16:D16"/>
    <mergeCell ref="E16:F16"/>
    <mergeCell ref="E31:F31"/>
    <mergeCell ref="C27:D27"/>
    <mergeCell ref="E27:F27"/>
    <mergeCell ref="E28:F28"/>
    <mergeCell ref="G78:H78"/>
    <mergeCell ref="B60:B67"/>
    <mergeCell ref="C71:D71"/>
    <mergeCell ref="B68:B73"/>
    <mergeCell ref="C34:D34"/>
    <mergeCell ref="C35:D35"/>
    <mergeCell ref="C37:D37"/>
    <mergeCell ref="C40:D40"/>
    <mergeCell ref="C43:D43"/>
    <mergeCell ref="C44:D44"/>
    <mergeCell ref="B52:B59"/>
    <mergeCell ref="C52:D52"/>
    <mergeCell ref="C53:D53"/>
    <mergeCell ref="C42:D42"/>
    <mergeCell ref="E74:F74"/>
    <mergeCell ref="G77:H77"/>
    <mergeCell ref="E43:F43"/>
    <mergeCell ref="E39:F39"/>
    <mergeCell ref="E40:F40"/>
    <mergeCell ref="E42:F42"/>
    <mergeCell ref="E44:F44"/>
    <mergeCell ref="E47:F47"/>
    <mergeCell ref="E49:F49"/>
    <mergeCell ref="E51:F51"/>
    <mergeCell ref="A1:B1"/>
    <mergeCell ref="A2:B2"/>
    <mergeCell ref="A3:B3"/>
    <mergeCell ref="B4:E4"/>
    <mergeCell ref="B11:C11"/>
    <mergeCell ref="E19:F19"/>
    <mergeCell ref="E20:F20"/>
    <mergeCell ref="B19:D19"/>
    <mergeCell ref="B17:D17"/>
    <mergeCell ref="E17:F17"/>
    <mergeCell ref="B20:B26"/>
    <mergeCell ref="C25:D25"/>
    <mergeCell ref="C20:D20"/>
    <mergeCell ref="C21:D21"/>
    <mergeCell ref="C22:D22"/>
    <mergeCell ref="C23:D23"/>
    <mergeCell ref="E21:F21"/>
    <mergeCell ref="E22:F22"/>
    <mergeCell ref="E23:F23"/>
    <mergeCell ref="E24:F24"/>
    <mergeCell ref="E13:F13"/>
    <mergeCell ref="C13:D13"/>
    <mergeCell ref="B14:D14"/>
    <mergeCell ref="A14:A78"/>
    <mergeCell ref="B77:D78"/>
    <mergeCell ref="E38:F38"/>
    <mergeCell ref="B27:B33"/>
    <mergeCell ref="C46:D46"/>
    <mergeCell ref="E46:F46"/>
    <mergeCell ref="C59:D59"/>
    <mergeCell ref="E59:F59"/>
    <mergeCell ref="B34:B51"/>
    <mergeCell ref="C73:D73"/>
    <mergeCell ref="E73:F73"/>
    <mergeCell ref="E78:F78"/>
    <mergeCell ref="E71:F71"/>
    <mergeCell ref="E72:F72"/>
    <mergeCell ref="E54:F54"/>
    <mergeCell ref="B74:B76"/>
    <mergeCell ref="C29:D29"/>
    <mergeCell ref="C30:D30"/>
    <mergeCell ref="C31:D31"/>
    <mergeCell ref="C39:D39"/>
    <mergeCell ref="C38:D38"/>
    <mergeCell ref="C62:D62"/>
    <mergeCell ref="C72:D72"/>
    <mergeCell ref="C65:D65"/>
    <mergeCell ref="C64:D64"/>
    <mergeCell ref="C75:D75"/>
    <mergeCell ref="E75:F75"/>
    <mergeCell ref="C76:D76"/>
    <mergeCell ref="E76:F76"/>
    <mergeCell ref="B15:D15"/>
    <mergeCell ref="E15:F15"/>
    <mergeCell ref="B18:D18"/>
    <mergeCell ref="E18:F18"/>
    <mergeCell ref="C36:D36"/>
    <mergeCell ref="E36:F36"/>
    <mergeCell ref="C41:D41"/>
    <mergeCell ref="E41:F41"/>
    <mergeCell ref="C48:D48"/>
    <mergeCell ref="E48:F48"/>
    <mergeCell ref="C24:D24"/>
    <mergeCell ref="C63:D63"/>
    <mergeCell ref="C60:D60"/>
    <mergeCell ref="C55:D55"/>
    <mergeCell ref="E35:F35"/>
    <mergeCell ref="E37:F37"/>
    <mergeCell ref="C54:D54"/>
    <mergeCell ref="C68:D68"/>
    <mergeCell ref="C69:D69"/>
    <mergeCell ref="E70:F70"/>
  </mergeCells>
  <phoneticPr fontId="4" type="noConversion"/>
  <pageMargins left="1.2" right="0.2" top="0.25" bottom="0.25" header="0.3" footer="0.3"/>
  <pageSetup paperSize="8" scale="77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view="pageBreakPreview" zoomScale="60" zoomScaleNormal="100" workbookViewId="0">
      <selection activeCell="F6" sqref="F6"/>
    </sheetView>
  </sheetViews>
  <sheetFormatPr defaultRowHeight="15" x14ac:dyDescent="0.25"/>
  <cols>
    <col min="2" max="11" width="10" customWidth="1"/>
  </cols>
  <sheetData>
    <row r="1" spans="1:11" ht="16.5" x14ac:dyDescent="0.25">
      <c r="A1" s="75" t="s">
        <v>29</v>
      </c>
      <c r="B1" s="76"/>
      <c r="C1" s="76"/>
      <c r="D1" s="76"/>
      <c r="E1" s="76"/>
      <c r="F1" s="76"/>
      <c r="G1" s="76"/>
      <c r="H1" s="76"/>
      <c r="I1" s="76"/>
      <c r="J1" s="76"/>
      <c r="K1" s="77"/>
    </row>
    <row r="2" spans="1:11" ht="16.5" x14ac:dyDescent="0.25">
      <c r="A2" s="78"/>
      <c r="B2" s="79" t="s">
        <v>98</v>
      </c>
      <c r="C2" s="79"/>
      <c r="D2" s="79" t="s">
        <v>99</v>
      </c>
      <c r="E2" s="79"/>
      <c r="F2" s="79" t="s">
        <v>97</v>
      </c>
      <c r="G2" s="79"/>
      <c r="H2" s="79" t="s">
        <v>104</v>
      </c>
      <c r="I2" s="79"/>
      <c r="J2" s="79" t="s">
        <v>101</v>
      </c>
      <c r="K2" s="80"/>
    </row>
    <row r="3" spans="1:11" ht="16.5" x14ac:dyDescent="0.25">
      <c r="A3" s="78"/>
      <c r="B3" s="23" t="s">
        <v>11</v>
      </c>
      <c r="C3" s="23" t="s">
        <v>27</v>
      </c>
      <c r="D3" s="23" t="s">
        <v>11</v>
      </c>
      <c r="E3" s="23" t="s">
        <v>27</v>
      </c>
      <c r="F3" s="23" t="s">
        <v>11</v>
      </c>
      <c r="G3" s="23" t="s">
        <v>27</v>
      </c>
      <c r="H3" s="23" t="s">
        <v>11</v>
      </c>
      <c r="I3" s="23" t="s">
        <v>27</v>
      </c>
      <c r="J3" s="23" t="s">
        <v>11</v>
      </c>
      <c r="K3" s="24" t="s">
        <v>27</v>
      </c>
    </row>
    <row r="4" spans="1:11" ht="16.5" x14ac:dyDescent="0.25">
      <c r="A4" s="27" t="s">
        <v>4</v>
      </c>
      <c r="B4" s="25">
        <v>51</v>
      </c>
      <c r="C4" s="25">
        <v>45</v>
      </c>
      <c r="D4" s="25">
        <v>42</v>
      </c>
      <c r="E4" s="25">
        <v>44</v>
      </c>
      <c r="F4" s="25">
        <v>44</v>
      </c>
      <c r="G4" s="25">
        <v>47</v>
      </c>
      <c r="H4" s="25">
        <v>6</v>
      </c>
      <c r="I4" s="25">
        <v>6</v>
      </c>
      <c r="J4" s="25">
        <v>5</v>
      </c>
      <c r="K4" s="25">
        <v>5</v>
      </c>
    </row>
    <row r="5" spans="1:11" ht="16.5" x14ac:dyDescent="0.25">
      <c r="A5" s="27" t="s">
        <v>20</v>
      </c>
      <c r="B5" s="25">
        <v>56</v>
      </c>
      <c r="C5" s="25">
        <v>51</v>
      </c>
      <c r="D5" s="25">
        <v>43</v>
      </c>
      <c r="E5" s="25">
        <v>49</v>
      </c>
      <c r="F5" s="25">
        <v>14</v>
      </c>
      <c r="G5" s="25">
        <v>16</v>
      </c>
      <c r="H5" s="25">
        <v>50</v>
      </c>
      <c r="I5" s="25">
        <v>46</v>
      </c>
      <c r="J5" s="25">
        <v>9</v>
      </c>
      <c r="K5" s="25">
        <v>7</v>
      </c>
    </row>
    <row r="6" spans="1:11" ht="16.5" x14ac:dyDescent="0.25">
      <c r="A6" s="27" t="s">
        <v>21</v>
      </c>
      <c r="B6" s="25">
        <v>44</v>
      </c>
      <c r="C6" s="25">
        <v>45</v>
      </c>
      <c r="D6" s="25">
        <v>85</v>
      </c>
      <c r="E6" s="25">
        <v>83</v>
      </c>
      <c r="F6" s="25">
        <v>21</v>
      </c>
      <c r="G6" s="25">
        <v>22</v>
      </c>
      <c r="H6" s="25">
        <v>8</v>
      </c>
      <c r="I6" s="25">
        <v>8</v>
      </c>
      <c r="J6" s="25">
        <v>11</v>
      </c>
      <c r="K6" s="25">
        <v>8</v>
      </c>
    </row>
    <row r="7" spans="1:11" ht="17.25" thickBot="1" x14ac:dyDescent="0.3">
      <c r="A7" s="28" t="s">
        <v>12</v>
      </c>
      <c r="B7" s="26">
        <f>SUM(B4:B6)</f>
        <v>151</v>
      </c>
      <c r="C7" s="26">
        <f t="shared" ref="C7:K7" si="0">SUM(C4:C6)</f>
        <v>141</v>
      </c>
      <c r="D7" s="26">
        <f t="shared" si="0"/>
        <v>170</v>
      </c>
      <c r="E7" s="26">
        <f t="shared" si="0"/>
        <v>176</v>
      </c>
      <c r="F7" s="26">
        <f t="shared" si="0"/>
        <v>79</v>
      </c>
      <c r="G7" s="26">
        <f t="shared" si="0"/>
        <v>85</v>
      </c>
      <c r="H7" s="26">
        <f t="shared" si="0"/>
        <v>64</v>
      </c>
      <c r="I7" s="26">
        <f t="shared" si="0"/>
        <v>60</v>
      </c>
      <c r="J7" s="26">
        <f t="shared" si="0"/>
        <v>25</v>
      </c>
      <c r="K7" s="26">
        <f t="shared" si="0"/>
        <v>20</v>
      </c>
    </row>
    <row r="9" spans="1:11" ht="15.75" thickBot="1" x14ac:dyDescent="0.3"/>
    <row r="10" spans="1:11" ht="16.5" x14ac:dyDescent="0.25">
      <c r="E10" s="73" t="s">
        <v>30</v>
      </c>
      <c r="F10" s="74"/>
    </row>
    <row r="11" spans="1:11" ht="16.5" x14ac:dyDescent="0.25">
      <c r="E11" s="29" t="s">
        <v>11</v>
      </c>
      <c r="F11" s="30">
        <f>SUMIF($B$3:$K$3,"Thực tế",$B$7:$K$7)</f>
        <v>489</v>
      </c>
    </row>
    <row r="12" spans="1:11" ht="17.25" thickBot="1" x14ac:dyDescent="0.3">
      <c r="E12" s="31" t="s">
        <v>27</v>
      </c>
      <c r="F12" s="32">
        <f>SUMIF($B$3:$K$3,"Ước tính",$B$7:$K$7)</f>
        <v>482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rintOptions horizontalCentered="1"/>
  <pageMargins left="1.2" right="0.2" top="1" bottom="0.75" header="0.3" footer="0.3"/>
  <pageSetup paperSize="8"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</cp:lastModifiedBy>
  <cp:lastPrinted>2026-05-13T09:31:25Z</cp:lastPrinted>
  <dcterms:created xsi:type="dcterms:W3CDTF">2021-04-23T08:05:10Z</dcterms:created>
  <dcterms:modified xsi:type="dcterms:W3CDTF">2026-05-13T09:31:34Z</dcterms:modified>
</cp:coreProperties>
</file>